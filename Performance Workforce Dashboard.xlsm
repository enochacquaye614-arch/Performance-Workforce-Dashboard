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6e1a13fd24c72a7e/Desktop/Excel Projects/Excel Dashboard/"/>
    </mc:Choice>
  </mc:AlternateContent>
  <xr:revisionPtr revIDLastSave="73" documentId="8_{C3AEA65E-CF1F-4BE8-A4B4-65418365ACF8}" xr6:coauthVersionLast="47" xr6:coauthVersionMax="47" xr10:uidLastSave="{D79EF795-9FE7-4D31-950D-75FBAB10BE9E}"/>
  <bookViews>
    <workbookView xWindow="-120" yWindow="-120" windowWidth="20730" windowHeight="11040" tabRatio="591" xr2:uid="{297556E7-2D9C-43D4-8622-F15510A57EF1}"/>
  </bookViews>
  <sheets>
    <sheet name="Pivot tables" sheetId="2" r:id="rId1"/>
    <sheet name="Dashboard" sheetId="3" r:id="rId2"/>
    <sheet name="Data" sheetId="1" r:id="rId3"/>
  </sheets>
  <definedNames>
    <definedName name="Slicer_Department">#N/A</definedName>
    <definedName name="Slicer_Gender">#N/A</definedName>
    <definedName name="Slicer_Performance">#N/A</definedName>
  </definedNames>
  <calcPr calcId="191029"/>
  <pivotCaches>
    <pivotCache cacheId="3"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1" l="1" a="1"/>
  <c r="O2" i="1" s="1"/>
  <c r="O3" i="1" a="1"/>
  <c r="O3" i="1" s="1"/>
  <c r="O4" i="1" a="1"/>
  <c r="O4" i="1" s="1"/>
  <c r="O5" i="1" a="1"/>
  <c r="O5" i="1" s="1"/>
  <c r="O6" i="1" a="1"/>
  <c r="O6" i="1" s="1"/>
  <c r="O7" i="1" a="1"/>
  <c r="O7" i="1" s="1"/>
  <c r="O8" i="1" a="1"/>
  <c r="O8" i="1" s="1"/>
  <c r="O9" i="1" a="1"/>
  <c r="O9" i="1" s="1"/>
  <c r="O10" i="1" a="1"/>
  <c r="O10" i="1" s="1"/>
  <c r="O11" i="1" a="1"/>
  <c r="O11" i="1" s="1"/>
  <c r="O12" i="1" a="1"/>
  <c r="O12" i="1" s="1"/>
  <c r="O13" i="1" a="1"/>
  <c r="O13" i="1"/>
  <c r="O14" i="1" a="1"/>
  <c r="O14" i="1" s="1"/>
  <c r="O15" i="1" a="1"/>
  <c r="O15" i="1" s="1"/>
  <c r="O16" i="1" a="1"/>
  <c r="O16" i="1" s="1"/>
  <c r="O17" i="1" a="1"/>
  <c r="O17" i="1" s="1"/>
  <c r="O18" i="1" a="1"/>
  <c r="O18" i="1" s="1"/>
  <c r="O19" i="1" a="1"/>
  <c r="O19" i="1" s="1"/>
  <c r="O20" i="1" a="1"/>
  <c r="O20" i="1" s="1"/>
  <c r="O21" i="1" a="1"/>
  <c r="O21" i="1"/>
  <c r="O22" i="1" a="1"/>
  <c r="O22" i="1" s="1"/>
  <c r="O23" i="1" a="1"/>
  <c r="O23" i="1" s="1"/>
  <c r="O24" i="1" a="1"/>
  <c r="O24" i="1" s="1"/>
  <c r="O25" i="1" a="1"/>
  <c r="O25" i="1"/>
  <c r="O26" i="1" a="1"/>
  <c r="O26" i="1" s="1"/>
  <c r="O27" i="1" a="1"/>
  <c r="O27" i="1" s="1"/>
  <c r="O28" i="1" a="1"/>
  <c r="O28" i="1" s="1"/>
  <c r="O29" i="1" a="1"/>
  <c r="O29" i="1" s="1"/>
  <c r="O30" i="1" a="1"/>
  <c r="O30" i="1" s="1"/>
  <c r="O31" i="1" a="1"/>
  <c r="O31" i="1" s="1"/>
  <c r="O32" i="1" a="1"/>
  <c r="O32" i="1" s="1"/>
  <c r="O33" i="1" a="1"/>
  <c r="O33" i="1"/>
  <c r="O34" i="1" a="1"/>
  <c r="O34" i="1" s="1"/>
  <c r="O35" i="1" a="1"/>
  <c r="O35" i="1" s="1"/>
  <c r="O36" i="1" a="1"/>
  <c r="O36" i="1" s="1"/>
  <c r="O37" i="1" a="1"/>
  <c r="O37" i="1" s="1"/>
  <c r="O38" i="1" a="1"/>
  <c r="O38" i="1" s="1"/>
  <c r="O39" i="1" a="1"/>
  <c r="O39" i="1" s="1"/>
  <c r="O40" i="1" a="1"/>
  <c r="O40" i="1" s="1"/>
  <c r="O41" i="1" a="1"/>
  <c r="O41" i="1"/>
  <c r="O42" i="1" a="1"/>
  <c r="O42" i="1" s="1"/>
  <c r="O43" i="1" a="1"/>
  <c r="O43" i="1" s="1"/>
  <c r="O44" i="1" a="1"/>
  <c r="O44" i="1" s="1"/>
  <c r="O45" i="1" a="1"/>
  <c r="O45" i="1" s="1"/>
  <c r="O46" i="1" a="1"/>
  <c r="O46" i="1" s="1"/>
  <c r="O47" i="1" a="1"/>
  <c r="O47" i="1" s="1"/>
  <c r="O48" i="1" a="1"/>
  <c r="O48" i="1" s="1"/>
  <c r="O49" i="1" a="1"/>
  <c r="O49" i="1" s="1"/>
  <c r="O50" i="1" a="1"/>
  <c r="O50" i="1" s="1"/>
  <c r="O51" i="1" a="1"/>
  <c r="O51" i="1" s="1"/>
  <c r="O52" i="1" a="1"/>
  <c r="O52" i="1" s="1"/>
  <c r="O53" i="1" a="1"/>
  <c r="O53" i="1"/>
  <c r="O54" i="1" a="1"/>
  <c r="O54" i="1" s="1"/>
  <c r="O55" i="1" a="1"/>
  <c r="O55" i="1" s="1"/>
  <c r="O56" i="1" a="1"/>
  <c r="O56" i="1" s="1"/>
  <c r="O57" i="1" a="1"/>
  <c r="O57" i="1" s="1"/>
  <c r="O58" i="1" a="1"/>
  <c r="O58" i="1" s="1"/>
  <c r="O59" i="1" a="1"/>
  <c r="O59" i="1" s="1"/>
  <c r="O60" i="1" a="1"/>
  <c r="O60" i="1" s="1"/>
  <c r="O61" i="1" a="1"/>
  <c r="O61" i="1"/>
  <c r="O62" i="1" a="1"/>
  <c r="O62" i="1" s="1"/>
  <c r="O63" i="1" a="1"/>
  <c r="O63" i="1" s="1"/>
  <c r="O64" i="1" a="1"/>
  <c r="O64" i="1" s="1"/>
  <c r="O65" i="1" a="1"/>
  <c r="O65" i="1" s="1"/>
  <c r="O66" i="1" a="1"/>
  <c r="O66" i="1" s="1"/>
  <c r="O67" i="1" a="1"/>
  <c r="O67" i="1" s="1"/>
  <c r="O68" i="1" a="1"/>
  <c r="O68" i="1" s="1"/>
  <c r="O69" i="1" a="1"/>
  <c r="O69" i="1"/>
  <c r="O70" i="1" a="1"/>
  <c r="O70" i="1" s="1"/>
  <c r="O71" i="1" a="1"/>
  <c r="O71" i="1" s="1"/>
  <c r="O72" i="1" a="1"/>
  <c r="O72" i="1" s="1"/>
  <c r="O73" i="1" a="1"/>
  <c r="O73" i="1"/>
  <c r="O74" i="1" a="1"/>
  <c r="O74" i="1" s="1"/>
  <c r="O75" i="1" a="1"/>
  <c r="O75" i="1" s="1"/>
  <c r="O76" i="1" a="1"/>
  <c r="O76" i="1" s="1"/>
  <c r="O77" i="1" a="1"/>
  <c r="O77" i="1" s="1"/>
  <c r="O78" i="1" a="1"/>
  <c r="O78" i="1" s="1"/>
  <c r="O79" i="1" a="1"/>
  <c r="O79" i="1" s="1"/>
  <c r="O80" i="1" a="1"/>
  <c r="O80" i="1" s="1"/>
  <c r="O81" i="1" a="1"/>
  <c r="O81" i="1" s="1"/>
  <c r="O82" i="1" a="1"/>
  <c r="O82" i="1" s="1"/>
  <c r="O83" i="1" a="1"/>
  <c r="O83" i="1" s="1"/>
  <c r="O84" i="1" a="1"/>
  <c r="O84" i="1" s="1"/>
  <c r="O85" i="1" a="1"/>
  <c r="O85" i="1"/>
  <c r="O86" i="1" a="1"/>
  <c r="O86" i="1" s="1"/>
  <c r="O87" i="1" a="1"/>
  <c r="O87" i="1" s="1"/>
  <c r="O88" i="1" a="1"/>
  <c r="O88" i="1" s="1"/>
  <c r="O89" i="1" a="1"/>
  <c r="O89" i="1"/>
  <c r="O90" i="1" a="1"/>
  <c r="O90" i="1" s="1"/>
  <c r="O91" i="1" a="1"/>
  <c r="O91" i="1" s="1"/>
  <c r="O92" i="1" a="1"/>
  <c r="O92" i="1" s="1"/>
  <c r="O93" i="1" a="1"/>
  <c r="O93" i="1" s="1"/>
  <c r="O94" i="1" a="1"/>
  <c r="O94" i="1" s="1"/>
  <c r="O95" i="1" a="1"/>
  <c r="O95" i="1" s="1"/>
  <c r="O96" i="1" a="1"/>
  <c r="O96" i="1" s="1"/>
  <c r="O97" i="1" a="1"/>
  <c r="O97" i="1" s="1"/>
  <c r="O98" i="1" a="1"/>
  <c r="O98" i="1" s="1"/>
  <c r="O99" i="1" a="1"/>
  <c r="O99" i="1" s="1"/>
  <c r="O100" i="1" a="1"/>
  <c r="O100" i="1" s="1"/>
  <c r="O101" i="1" a="1"/>
  <c r="O101" i="1"/>
  <c r="O102" i="1" a="1"/>
  <c r="O102" i="1" s="1"/>
  <c r="O103" i="1" a="1"/>
  <c r="O103" i="1" s="1"/>
  <c r="O104" i="1" a="1"/>
  <c r="O104" i="1" s="1"/>
  <c r="O105" i="1" a="1"/>
  <c r="O105" i="1"/>
  <c r="O106" i="1" a="1"/>
  <c r="O106" i="1" s="1"/>
  <c r="O107" i="1" a="1"/>
  <c r="O107" i="1" s="1"/>
  <c r="O108" i="1" a="1"/>
  <c r="O108" i="1" s="1"/>
  <c r="O109" i="1" a="1"/>
  <c r="O109" i="1" s="1"/>
  <c r="O110" i="1" a="1"/>
  <c r="O110" i="1" s="1"/>
  <c r="O111" i="1" a="1"/>
  <c r="O111" i="1" s="1"/>
  <c r="O112" i="1" a="1"/>
  <c r="O112" i="1" s="1"/>
  <c r="O113" i="1" a="1"/>
  <c r="O113" i="1" s="1"/>
  <c r="O114" i="1" a="1"/>
  <c r="O114" i="1" s="1"/>
  <c r="O115" i="1" a="1"/>
  <c r="O115" i="1" s="1"/>
  <c r="O116" i="1" a="1"/>
  <c r="O116" i="1" s="1"/>
  <c r="O117" i="1" a="1"/>
  <c r="O117" i="1" s="1"/>
  <c r="O118" i="1" a="1"/>
  <c r="O118" i="1" s="1"/>
  <c r="O119" i="1" a="1"/>
  <c r="O119" i="1" s="1"/>
  <c r="O120" i="1" a="1"/>
  <c r="O120" i="1" s="1"/>
  <c r="O121" i="1" a="1"/>
  <c r="O121" i="1" s="1"/>
  <c r="O122" i="1" a="1"/>
  <c r="O122" i="1" s="1"/>
  <c r="O123" i="1" a="1"/>
  <c r="O123" i="1" s="1"/>
  <c r="O124" i="1" a="1"/>
  <c r="O124" i="1" s="1"/>
  <c r="O125" i="1" a="1"/>
  <c r="O125" i="1"/>
  <c r="O126" i="1" a="1"/>
  <c r="O126" i="1" s="1"/>
  <c r="O127" i="1" a="1"/>
  <c r="O127" i="1" s="1"/>
  <c r="O128" i="1" a="1"/>
  <c r="O128" i="1" s="1"/>
  <c r="O129" i="1" a="1"/>
  <c r="O129" i="1" s="1"/>
  <c r="O130" i="1" a="1"/>
  <c r="O130" i="1" s="1"/>
  <c r="O131" i="1" a="1"/>
  <c r="O131" i="1" s="1"/>
  <c r="O132" i="1" a="1"/>
  <c r="O132" i="1" s="1"/>
  <c r="O133" i="1" a="1"/>
  <c r="O133" i="1"/>
  <c r="O134" i="1" a="1"/>
  <c r="O134" i="1" s="1"/>
  <c r="O135" i="1" a="1"/>
  <c r="O135" i="1" s="1"/>
  <c r="O136" i="1" a="1"/>
  <c r="O136" i="1" s="1"/>
  <c r="O137" i="1" a="1"/>
  <c r="O137" i="1" s="1"/>
  <c r="O138" i="1" a="1"/>
  <c r="O138" i="1" s="1"/>
  <c r="O139" i="1" a="1"/>
  <c r="O139" i="1" s="1"/>
  <c r="O140" i="1" a="1"/>
  <c r="O140" i="1" s="1"/>
  <c r="O141" i="1" a="1"/>
  <c r="O141" i="1"/>
  <c r="O142" i="1" a="1"/>
  <c r="O142" i="1" s="1"/>
  <c r="O143" i="1" a="1"/>
  <c r="O143" i="1" s="1"/>
  <c r="O144" i="1" a="1"/>
  <c r="O144" i="1" s="1"/>
  <c r="O145" i="1" a="1"/>
  <c r="O145" i="1" s="1"/>
  <c r="O146" i="1" a="1"/>
  <c r="O146" i="1" s="1"/>
  <c r="O147" i="1" a="1"/>
  <c r="O147" i="1" s="1"/>
  <c r="O148" i="1" a="1"/>
  <c r="O148" i="1" s="1"/>
  <c r="O149" i="1" a="1"/>
  <c r="O149" i="1" s="1"/>
  <c r="O150" i="1" a="1"/>
  <c r="O150" i="1" s="1"/>
  <c r="O151" i="1" a="1"/>
  <c r="O151" i="1" s="1"/>
  <c r="O152" i="1" a="1"/>
  <c r="O152" i="1" s="1"/>
  <c r="O153" i="1" a="1"/>
  <c r="O153" i="1"/>
  <c r="O154" i="1" a="1"/>
  <c r="O154" i="1" s="1"/>
  <c r="O155" i="1" a="1"/>
  <c r="O155" i="1" s="1"/>
  <c r="O156" i="1" a="1"/>
  <c r="O156" i="1" s="1"/>
  <c r="O157" i="1" a="1"/>
  <c r="O157" i="1" s="1"/>
  <c r="O158" i="1" a="1"/>
  <c r="O158" i="1" s="1"/>
  <c r="O159" i="1" a="1"/>
  <c r="O159" i="1" s="1"/>
  <c r="O160" i="1" a="1"/>
  <c r="O160" i="1" s="1"/>
  <c r="O161" i="1" a="1"/>
  <c r="O161" i="1"/>
  <c r="O162" i="1" a="1"/>
  <c r="O162" i="1" s="1"/>
  <c r="O163" i="1" a="1"/>
  <c r="O163" i="1" s="1"/>
  <c r="O164" i="1" a="1"/>
  <c r="O164" i="1" s="1"/>
  <c r="O165" i="1" a="1"/>
  <c r="O165" i="1" s="1"/>
  <c r="O166" i="1" a="1"/>
  <c r="O166" i="1" s="1"/>
  <c r="O167" i="1" a="1"/>
  <c r="O167" i="1" s="1"/>
  <c r="O168" i="1" a="1"/>
  <c r="O168" i="1" s="1"/>
  <c r="O169" i="1" a="1"/>
  <c r="O169" i="1"/>
  <c r="O170" i="1" a="1"/>
  <c r="O170" i="1" s="1"/>
  <c r="O171" i="1" a="1"/>
  <c r="O171" i="1" s="1"/>
  <c r="O172" i="1" a="1"/>
  <c r="O172" i="1" s="1"/>
  <c r="O173" i="1" a="1"/>
  <c r="O173" i="1" s="1"/>
  <c r="O174" i="1" a="1"/>
  <c r="O174" i="1" s="1"/>
  <c r="O175" i="1" a="1"/>
  <c r="O175" i="1" s="1"/>
  <c r="O176" i="1" a="1"/>
  <c r="O176" i="1" s="1"/>
  <c r="O177" i="1" a="1"/>
  <c r="O177" i="1" s="1"/>
  <c r="O178" i="1" a="1"/>
  <c r="O178" i="1" s="1"/>
  <c r="O179" i="1" a="1"/>
  <c r="O179" i="1" s="1"/>
  <c r="O180" i="1" a="1"/>
  <c r="O180" i="1" s="1"/>
  <c r="O181" i="1" a="1"/>
  <c r="O181" i="1"/>
  <c r="O182" i="1" a="1"/>
  <c r="O182" i="1" s="1"/>
  <c r="O183" i="1" a="1"/>
  <c r="O183" i="1" s="1"/>
  <c r="O184" i="1" a="1"/>
  <c r="O184" i="1" s="1"/>
  <c r="O185" i="1" a="1"/>
  <c r="O185" i="1" s="1"/>
  <c r="O186" i="1" a="1"/>
  <c r="O186" i="1" s="1"/>
  <c r="O187" i="1" a="1"/>
  <c r="O187" i="1" s="1"/>
  <c r="O188" i="1" a="1"/>
  <c r="O188" i="1" s="1"/>
  <c r="O189" i="1" a="1"/>
  <c r="O189" i="1"/>
  <c r="O190" i="1" a="1"/>
  <c r="O190" i="1" s="1"/>
  <c r="O191" i="1" a="1"/>
  <c r="O191" i="1" s="1"/>
  <c r="O192" i="1" a="1"/>
  <c r="O192" i="1" s="1"/>
  <c r="O193" i="1" a="1"/>
  <c r="O193" i="1" s="1"/>
  <c r="O194" i="1" a="1"/>
  <c r="O194" i="1" s="1"/>
  <c r="O195" i="1" a="1"/>
  <c r="O195" i="1" s="1"/>
  <c r="O196" i="1" a="1"/>
  <c r="O196" i="1" s="1"/>
  <c r="O197" i="1" a="1"/>
  <c r="O197" i="1"/>
  <c r="O198" i="1" a="1"/>
  <c r="O198" i="1" s="1"/>
  <c r="O199" i="1" a="1"/>
  <c r="O199" i="1" s="1"/>
  <c r="O200" i="1" a="1"/>
  <c r="O200" i="1" s="1"/>
  <c r="O201" i="1" a="1"/>
  <c r="O201" i="1"/>
  <c r="O202" i="1" a="1"/>
  <c r="O202" i="1" s="1"/>
  <c r="O203" i="1" a="1"/>
  <c r="O203" i="1" s="1"/>
  <c r="O204" i="1" a="1"/>
  <c r="O204" i="1" s="1"/>
  <c r="O205" i="1" a="1"/>
  <c r="O205" i="1" s="1"/>
  <c r="O206" i="1" a="1"/>
  <c r="O206" i="1" s="1"/>
  <c r="O207" i="1" a="1"/>
  <c r="O207" i="1" s="1"/>
  <c r="O208" i="1" a="1"/>
  <c r="O208" i="1" s="1"/>
  <c r="O209" i="1" a="1"/>
  <c r="O209" i="1" s="1"/>
  <c r="O210" i="1" a="1"/>
  <c r="O210" i="1" s="1"/>
  <c r="O211" i="1" a="1"/>
  <c r="O211" i="1" s="1"/>
  <c r="O212" i="1" a="1"/>
  <c r="O212" i="1" s="1"/>
  <c r="O213" i="1" a="1"/>
  <c r="O213" i="1" s="1"/>
  <c r="O214" i="1" a="1"/>
  <c r="O214" i="1" s="1"/>
  <c r="O215" i="1" a="1"/>
  <c r="O215" i="1" s="1"/>
  <c r="O216" i="1" a="1"/>
  <c r="O216" i="1" s="1"/>
  <c r="O217" i="1" a="1"/>
  <c r="O217" i="1"/>
  <c r="O218" i="1" a="1"/>
  <c r="O218" i="1" s="1"/>
  <c r="O219" i="1" a="1"/>
  <c r="O219" i="1" s="1"/>
  <c r="O220" i="1" a="1"/>
  <c r="O220" i="1" s="1"/>
  <c r="O221" i="1" a="1"/>
  <c r="O221" i="1" s="1"/>
  <c r="O222" i="1" a="1"/>
  <c r="O222" i="1" s="1"/>
  <c r="O223" i="1" a="1"/>
  <c r="O223" i="1" s="1"/>
  <c r="O224" i="1" a="1"/>
  <c r="O224" i="1" s="1"/>
  <c r="O225" i="1" a="1"/>
  <c r="O225" i="1"/>
  <c r="O226" i="1" a="1"/>
  <c r="O226" i="1" s="1"/>
  <c r="O227" i="1" a="1"/>
  <c r="O227" i="1" s="1"/>
  <c r="O228" i="1" a="1"/>
  <c r="O228" i="1" s="1"/>
  <c r="O229" i="1" a="1"/>
  <c r="O229" i="1"/>
  <c r="O230" i="1" a="1"/>
  <c r="O230" i="1" s="1"/>
  <c r="O231" i="1" a="1"/>
  <c r="O231" i="1" s="1"/>
  <c r="O232" i="1" a="1"/>
  <c r="O232" i="1" s="1"/>
  <c r="O233" i="1" a="1"/>
  <c r="O233" i="1" s="1"/>
  <c r="O234" i="1" a="1"/>
  <c r="O234" i="1" s="1"/>
  <c r="O235" i="1" a="1"/>
  <c r="O235" i="1" s="1"/>
  <c r="O236" i="1" a="1"/>
  <c r="O236" i="1" s="1"/>
  <c r="O237" i="1" a="1"/>
  <c r="O237" i="1"/>
  <c r="O238" i="1" a="1"/>
  <c r="O238" i="1" s="1"/>
  <c r="O239" i="1" a="1"/>
  <c r="O239" i="1" s="1"/>
  <c r="O240" i="1" a="1"/>
  <c r="O240" i="1" s="1"/>
  <c r="O241" i="1" a="1"/>
  <c r="O241" i="1" s="1"/>
  <c r="O242" i="1" a="1"/>
  <c r="O242" i="1" s="1"/>
  <c r="O243" i="1" a="1"/>
  <c r="O243" i="1" s="1"/>
  <c r="O244" i="1" a="1"/>
  <c r="O244" i="1" s="1"/>
  <c r="O245" i="1" a="1"/>
  <c r="O245" i="1"/>
  <c r="O246" i="1" a="1"/>
  <c r="O246" i="1" s="1"/>
  <c r="O247" i="1" a="1"/>
  <c r="O247" i="1" s="1"/>
  <c r="O248" i="1" a="1"/>
  <c r="O248" i="1" s="1"/>
  <c r="O249" i="1" a="1"/>
  <c r="O249" i="1" s="1"/>
  <c r="O250" i="1" a="1"/>
  <c r="O250" i="1" s="1"/>
  <c r="O251" i="1" a="1"/>
  <c r="O251" i="1" s="1"/>
  <c r="O252" i="1" a="1"/>
  <c r="O252" i="1" s="1"/>
  <c r="O253" i="1" a="1"/>
  <c r="O253" i="1" s="1"/>
  <c r="O254" i="1" a="1"/>
  <c r="O254" i="1" s="1"/>
  <c r="O255" i="1" a="1"/>
  <c r="O255" i="1" s="1"/>
  <c r="O256" i="1" a="1"/>
  <c r="O256" i="1" s="1"/>
  <c r="O257" i="1" a="1"/>
  <c r="O257" i="1" s="1"/>
  <c r="O258" i="1" a="1"/>
  <c r="O258" i="1" s="1"/>
  <c r="O259" i="1" a="1"/>
  <c r="O259" i="1" s="1"/>
  <c r="O260" i="1" a="1"/>
  <c r="O260" i="1" s="1"/>
  <c r="O261" i="1" a="1"/>
  <c r="O261" i="1"/>
  <c r="O262" i="1" a="1"/>
  <c r="O262" i="1" s="1"/>
  <c r="O263" i="1" a="1"/>
  <c r="O263" i="1" s="1"/>
  <c r="O264" i="1" a="1"/>
  <c r="O264" i="1" s="1"/>
  <c r="O265" i="1" a="1"/>
  <c r="O265" i="1" s="1"/>
  <c r="O266" i="1" a="1"/>
  <c r="O266" i="1" s="1"/>
  <c r="O267" i="1" a="1"/>
  <c r="O267" i="1" s="1"/>
  <c r="O268" i="1" a="1"/>
  <c r="O268" i="1" s="1"/>
  <c r="O269" i="1" a="1"/>
  <c r="O269" i="1"/>
  <c r="O270" i="1" a="1"/>
  <c r="O270" i="1" s="1"/>
  <c r="O271" i="1" a="1"/>
  <c r="O271" i="1" s="1"/>
  <c r="O272" i="1" a="1"/>
  <c r="O272" i="1" s="1"/>
  <c r="O273" i="1" a="1"/>
  <c r="O273" i="1" s="1"/>
  <c r="O274" i="1" a="1"/>
  <c r="O274" i="1"/>
  <c r="O275" i="1" a="1"/>
  <c r="O275" i="1" s="1"/>
  <c r="O276" i="1" a="1"/>
  <c r="O276" i="1" s="1"/>
  <c r="O277" i="1" a="1"/>
  <c r="O277" i="1" s="1"/>
  <c r="O278" i="1" a="1"/>
  <c r="O278" i="1" s="1"/>
  <c r="O279" i="1" a="1"/>
  <c r="O279" i="1" s="1"/>
  <c r="O280" i="1" a="1"/>
  <c r="O280" i="1" s="1"/>
  <c r="O281" i="1" a="1"/>
  <c r="O281" i="1"/>
  <c r="O282" i="1" a="1"/>
  <c r="O282" i="1" s="1"/>
  <c r="O283" i="1" a="1"/>
  <c r="O283" i="1" s="1"/>
  <c r="O284" i="1" a="1"/>
  <c r="O284" i="1" s="1"/>
  <c r="O285" i="1" a="1"/>
  <c r="O285" i="1" s="1"/>
  <c r="O286" i="1" a="1"/>
  <c r="O286" i="1"/>
  <c r="O287" i="1" a="1"/>
  <c r="O287" i="1" s="1"/>
  <c r="O288" i="1" a="1"/>
  <c r="O288" i="1" s="1"/>
  <c r="O289" i="1" a="1"/>
  <c r="O289" i="1" s="1"/>
  <c r="O290" i="1" a="1"/>
  <c r="O290" i="1" s="1"/>
  <c r="O291" i="1" a="1"/>
  <c r="O291" i="1" s="1"/>
  <c r="O292" i="1" a="1"/>
  <c r="O292" i="1" s="1"/>
  <c r="O293" i="1" a="1"/>
  <c r="O293" i="1" s="1"/>
  <c r="O294" i="1" a="1"/>
  <c r="O294" i="1" s="1"/>
  <c r="O295" i="1" a="1"/>
  <c r="O295" i="1" s="1"/>
  <c r="O296" i="1" a="1"/>
  <c r="O296" i="1" s="1"/>
  <c r="O297" i="1" a="1"/>
  <c r="O297" i="1" s="1"/>
  <c r="O298" i="1" a="1"/>
  <c r="O298" i="1" s="1"/>
  <c r="O299" i="1" a="1"/>
  <c r="O299" i="1" s="1"/>
  <c r="O300" i="1" a="1"/>
  <c r="O300" i="1" s="1"/>
  <c r="O301" i="1" a="1"/>
  <c r="O301" i="1"/>
  <c r="O302" i="1" a="1"/>
  <c r="O302" i="1"/>
  <c r="O303" i="1" a="1"/>
  <c r="O303" i="1" s="1"/>
  <c r="O304" i="1" a="1"/>
  <c r="O304" i="1" s="1"/>
  <c r="O305" i="1" a="1"/>
  <c r="O305" i="1"/>
  <c r="O306" i="1" a="1"/>
  <c r="O306" i="1"/>
  <c r="O307" i="1" a="1"/>
  <c r="O307" i="1" s="1"/>
  <c r="O308" i="1" a="1"/>
  <c r="O308" i="1" s="1"/>
  <c r="O309" i="1" a="1"/>
  <c r="O309" i="1" s="1"/>
  <c r="O310" i="1" a="1"/>
  <c r="O310" i="1"/>
  <c r="O311" i="1" a="1"/>
  <c r="O311" i="1" s="1"/>
  <c r="O312" i="1" a="1"/>
  <c r="O312" i="1" s="1"/>
  <c r="O313" i="1" a="1"/>
  <c r="O313" i="1"/>
  <c r="O314" i="1" a="1"/>
  <c r="O314" i="1" s="1"/>
  <c r="O315" i="1" a="1"/>
  <c r="O315" i="1" s="1"/>
  <c r="O316" i="1" a="1"/>
  <c r="O316" i="1" s="1"/>
  <c r="O317" i="1" a="1"/>
  <c r="O317" i="1"/>
  <c r="O318" i="1" a="1"/>
  <c r="O318" i="1"/>
  <c r="O319" i="1" a="1"/>
  <c r="O319" i="1" s="1"/>
  <c r="O320" i="1" a="1"/>
  <c r="O320" i="1" s="1"/>
  <c r="O321" i="1" a="1"/>
  <c r="O321" i="1" s="1"/>
  <c r="O322" i="1" a="1"/>
  <c r="O322" i="1"/>
  <c r="O323" i="1" a="1"/>
  <c r="O323" i="1" s="1"/>
  <c r="O324" i="1" a="1"/>
  <c r="O324" i="1" s="1"/>
  <c r="O325" i="1" a="1"/>
  <c r="O325" i="1" s="1"/>
  <c r="O326" i="1" a="1"/>
  <c r="O326" i="1" s="1"/>
  <c r="O327" i="1" a="1"/>
  <c r="O327" i="1" s="1"/>
  <c r="O328" i="1" a="1"/>
  <c r="O328" i="1" s="1"/>
  <c r="O329" i="1" a="1"/>
  <c r="O329" i="1" s="1"/>
  <c r="O330" i="1" a="1"/>
  <c r="O330" i="1" s="1"/>
  <c r="O331" i="1" a="1"/>
  <c r="O331" i="1" s="1"/>
  <c r="O332" i="1" a="1"/>
  <c r="O332" i="1" s="1"/>
  <c r="O333" i="1" a="1"/>
  <c r="O333" i="1" s="1"/>
  <c r="O334" i="1" a="1"/>
  <c r="O334" i="1"/>
  <c r="O335" i="1" a="1"/>
  <c r="O335" i="1" s="1"/>
  <c r="O336" i="1" a="1"/>
  <c r="O336" i="1" s="1"/>
  <c r="O337" i="1" a="1"/>
  <c r="O337" i="1"/>
  <c r="O338" i="1" a="1"/>
  <c r="O338" i="1" s="1"/>
  <c r="O339" i="1" a="1"/>
  <c r="O339" i="1" s="1"/>
  <c r="O340" i="1" a="1"/>
  <c r="O340" i="1" s="1"/>
  <c r="O341" i="1" a="1"/>
  <c r="O341" i="1" s="1"/>
  <c r="O342" i="1" a="1"/>
  <c r="O342" i="1" s="1"/>
  <c r="O343" i="1" a="1"/>
  <c r="O343" i="1"/>
  <c r="O344" i="1" a="1"/>
  <c r="O344" i="1" s="1"/>
  <c r="O345" i="1" a="1"/>
  <c r="O345" i="1" s="1"/>
  <c r="O346" i="1" a="1"/>
  <c r="O346" i="1"/>
  <c r="O347" i="1" a="1"/>
  <c r="O347" i="1" s="1"/>
  <c r="O348" i="1" a="1"/>
  <c r="O348" i="1" s="1"/>
  <c r="O349" i="1" a="1"/>
  <c r="O349" i="1" s="1"/>
  <c r="O350" i="1" a="1"/>
  <c r="O350" i="1" s="1"/>
  <c r="O351" i="1" a="1"/>
  <c r="O351" i="1"/>
  <c r="O352" i="1" a="1"/>
  <c r="O352" i="1" s="1"/>
  <c r="O353" i="1" a="1"/>
  <c r="O353" i="1" s="1"/>
  <c r="O354" i="1" a="1"/>
  <c r="O354" i="1" s="1"/>
  <c r="O355" i="1" a="1"/>
  <c r="O355" i="1"/>
  <c r="O356" i="1" a="1"/>
  <c r="O356" i="1"/>
  <c r="O357" i="1" a="1"/>
  <c r="O357" i="1" s="1"/>
  <c r="O358" i="1" a="1"/>
  <c r="O358" i="1" s="1"/>
  <c r="O359" i="1" a="1"/>
  <c r="O359" i="1" s="1"/>
  <c r="O360" i="1" a="1"/>
  <c r="O360" i="1"/>
  <c r="O361" i="1" a="1"/>
  <c r="O361" i="1" s="1"/>
  <c r="O362" i="1" a="1"/>
  <c r="O362" i="1"/>
  <c r="O363" i="1" a="1"/>
  <c r="O363" i="1" s="1"/>
  <c r="O364" i="1" a="1"/>
  <c r="O364" i="1" s="1"/>
  <c r="O365" i="1" a="1"/>
  <c r="O365" i="1" s="1"/>
  <c r="O366" i="1" a="1"/>
  <c r="O366" i="1"/>
  <c r="O367" i="1" a="1"/>
  <c r="O367" i="1"/>
  <c r="O368" i="1" a="1"/>
  <c r="O368" i="1" s="1"/>
  <c r="O369" i="1" a="1"/>
  <c r="O369" i="1" s="1"/>
  <c r="O370" i="1" a="1"/>
  <c r="O370" i="1"/>
  <c r="O371" i="1" a="1"/>
  <c r="O371" i="1"/>
  <c r="O372" i="1" a="1"/>
  <c r="O372" i="1"/>
  <c r="O373" i="1" a="1"/>
  <c r="O373" i="1" s="1"/>
  <c r="O374" i="1" a="1"/>
  <c r="O374" i="1" s="1"/>
  <c r="O375" i="1" a="1"/>
  <c r="O375" i="1"/>
  <c r="O376" i="1" a="1"/>
  <c r="O376" i="1"/>
  <c r="O377" i="1" a="1"/>
  <c r="O377" i="1" s="1"/>
  <c r="O378" i="1" a="1"/>
  <c r="O378" i="1" s="1"/>
  <c r="O379" i="1" a="1"/>
  <c r="O379" i="1" s="1"/>
  <c r="O380" i="1" a="1"/>
  <c r="O380" i="1"/>
  <c r="O381" i="1" a="1"/>
  <c r="O381" i="1" s="1"/>
  <c r="O382" i="1" a="1"/>
  <c r="O382" i="1" s="1"/>
  <c r="O383" i="1" a="1"/>
  <c r="O383" i="1" s="1"/>
  <c r="O384" i="1" a="1"/>
  <c r="O384" i="1" s="1"/>
  <c r="O385" i="1" a="1"/>
  <c r="O385" i="1" s="1"/>
  <c r="O386" i="1" a="1"/>
  <c r="O386" i="1" s="1"/>
  <c r="O387" i="1" a="1"/>
  <c r="O387" i="1"/>
  <c r="O388" i="1" a="1"/>
  <c r="O388" i="1" s="1"/>
  <c r="O389" i="1" a="1"/>
  <c r="O389" i="1" s="1"/>
  <c r="O390" i="1" a="1"/>
  <c r="O390" i="1"/>
  <c r="O391" i="1" a="1"/>
  <c r="O391" i="1" s="1"/>
  <c r="O392" i="1" a="1"/>
  <c r="O392" i="1"/>
  <c r="O393" i="1" a="1"/>
  <c r="O393" i="1" s="1"/>
  <c r="O394" i="1" a="1"/>
  <c r="O394" i="1" s="1"/>
  <c r="O395" i="1" a="1"/>
  <c r="O395" i="1"/>
  <c r="O396" i="1" a="1"/>
  <c r="O396" i="1" s="1"/>
  <c r="O397" i="1" a="1"/>
  <c r="O397" i="1" s="1"/>
  <c r="O398" i="1" a="1"/>
  <c r="O398" i="1" s="1"/>
  <c r="O399" i="1" a="1"/>
  <c r="O399" i="1"/>
  <c r="O400" i="1" a="1"/>
  <c r="O400" i="1" s="1"/>
  <c r="O401" i="1" a="1"/>
  <c r="O401" i="1" s="1"/>
  <c r="O402" i="1" a="1"/>
  <c r="O402" i="1" s="1"/>
  <c r="O403" i="1" a="1"/>
  <c r="O403" i="1" s="1"/>
  <c r="O404" i="1" a="1"/>
  <c r="O404" i="1"/>
  <c r="O405" i="1" a="1"/>
  <c r="O405" i="1" s="1"/>
  <c r="O406" i="1" a="1"/>
  <c r="O406" i="1" s="1"/>
  <c r="O407" i="1" a="1"/>
  <c r="O407" i="1"/>
  <c r="O408" i="1" a="1"/>
  <c r="O408" i="1" s="1"/>
  <c r="O409" i="1" a="1"/>
  <c r="O409" i="1" s="1"/>
  <c r="O410" i="1" a="1"/>
  <c r="O410" i="1"/>
  <c r="O411" i="1" a="1"/>
  <c r="O411" i="1"/>
  <c r="O412" i="1" a="1"/>
  <c r="O412" i="1"/>
  <c r="O413" i="1" a="1"/>
  <c r="O413" i="1" s="1"/>
  <c r="O414" i="1" a="1"/>
  <c r="O414" i="1" s="1"/>
  <c r="O415" i="1" a="1"/>
  <c r="O415" i="1"/>
  <c r="O416" i="1" a="1"/>
  <c r="O416" i="1"/>
  <c r="O417" i="1" a="1"/>
  <c r="O417" i="1" s="1"/>
  <c r="O418" i="1" a="1"/>
  <c r="O418" i="1" s="1"/>
  <c r="O419" i="1" a="1"/>
  <c r="O419" i="1" s="1"/>
  <c r="O420" i="1" a="1"/>
  <c r="O420" i="1"/>
  <c r="O421" i="1" a="1"/>
  <c r="O421" i="1" s="1"/>
  <c r="O422" i="1" a="1"/>
  <c r="O422" i="1"/>
  <c r="O423" i="1" a="1"/>
  <c r="O423" i="1" s="1"/>
  <c r="O424" i="1" a="1"/>
  <c r="O424" i="1" s="1"/>
  <c r="O425" i="1" a="1"/>
  <c r="O425" i="1" s="1"/>
  <c r="O426" i="1" a="1"/>
  <c r="O426" i="1"/>
  <c r="O427" i="1" a="1"/>
  <c r="O427" i="1"/>
  <c r="O428" i="1" a="1"/>
  <c r="O428" i="1" s="1"/>
  <c r="O429" i="1" a="1"/>
  <c r="O429" i="1" s="1"/>
  <c r="O430" i="1" a="1"/>
  <c r="O430" i="1"/>
  <c r="O431" i="1" a="1"/>
  <c r="O431" i="1"/>
  <c r="O432" i="1" a="1"/>
  <c r="O432" i="1" s="1"/>
  <c r="O433" i="1" a="1"/>
  <c r="O433" i="1" s="1"/>
  <c r="O434" i="1" a="1"/>
  <c r="O434" i="1" s="1"/>
  <c r="O435" i="1" a="1"/>
  <c r="O435" i="1"/>
  <c r="O436" i="1" a="1"/>
  <c r="O436" i="1"/>
  <c r="O437" i="1" a="1"/>
  <c r="O437" i="1" s="1"/>
  <c r="O438" i="1" a="1"/>
  <c r="O438" i="1" s="1"/>
  <c r="O439" i="1" a="1"/>
  <c r="O439" i="1" s="1"/>
  <c r="O440" i="1" a="1"/>
  <c r="O440" i="1"/>
  <c r="O441" i="1" a="1"/>
  <c r="O441" i="1" s="1"/>
  <c r="O442" i="1" a="1"/>
  <c r="O442" i="1" s="1"/>
  <c r="O443" i="1" a="1"/>
  <c r="O443" i="1"/>
  <c r="O444" i="1" a="1"/>
  <c r="O444" i="1" s="1"/>
  <c r="O445" i="1" a="1"/>
  <c r="O445" i="1" s="1"/>
  <c r="O446" i="1" a="1"/>
  <c r="O446" i="1" s="1"/>
  <c r="O447" i="1" a="1"/>
  <c r="O447" i="1" s="1"/>
  <c r="O448" i="1" a="1"/>
  <c r="O448" i="1"/>
  <c r="O449" i="1" a="1"/>
  <c r="O449" i="1" s="1"/>
  <c r="O450" i="1" a="1"/>
  <c r="O450" i="1" s="1"/>
  <c r="O451" i="1" a="1"/>
  <c r="O451" i="1"/>
  <c r="O452" i="1" a="1"/>
  <c r="O452" i="1" s="1"/>
  <c r="O453" i="1" a="1"/>
  <c r="O453" i="1" s="1"/>
  <c r="O454" i="1" a="1"/>
  <c r="O454" i="1"/>
  <c r="O455" i="1" a="1"/>
  <c r="O455" i="1" s="1"/>
  <c r="O456" i="1" a="1"/>
  <c r="O456" i="1" s="1"/>
  <c r="O457" i="1" a="1"/>
  <c r="O457" i="1" s="1"/>
  <c r="O458" i="1" a="1"/>
  <c r="O458" i="1"/>
  <c r="O459" i="1" a="1"/>
  <c r="O459" i="1"/>
  <c r="O460" i="1" a="1"/>
  <c r="O460" i="1" s="1"/>
  <c r="O461" i="1" a="1"/>
  <c r="O461" i="1" s="1"/>
  <c r="O462" i="1" a="1"/>
  <c r="O462" i="1" s="1"/>
  <c r="O463" i="1" a="1"/>
  <c r="O463" i="1"/>
  <c r="O464" i="1" a="1"/>
  <c r="O464" i="1" s="1"/>
  <c r="O465" i="1" a="1"/>
  <c r="O465" i="1" s="1"/>
  <c r="O466" i="1" a="1"/>
  <c r="O466" i="1" s="1"/>
  <c r="O467" i="1" a="1"/>
  <c r="O467" i="1" s="1"/>
  <c r="O468" i="1" a="1"/>
  <c r="O468" i="1"/>
  <c r="O469" i="1" a="1"/>
  <c r="O469" i="1" s="1"/>
  <c r="O470" i="1" a="1"/>
  <c r="O470" i="1" s="1"/>
  <c r="O471" i="1" a="1"/>
  <c r="O471" i="1"/>
  <c r="O472" i="1" a="1"/>
  <c r="O472" i="1" s="1"/>
  <c r="O473" i="1" a="1"/>
  <c r="O473" i="1" s="1"/>
  <c r="O474" i="1" a="1"/>
  <c r="O474" i="1"/>
  <c r="O475" i="1" a="1"/>
  <c r="O475" i="1"/>
  <c r="O476" i="1" a="1"/>
  <c r="O476" i="1" s="1"/>
  <c r="O477" i="1" a="1"/>
  <c r="O477" i="1" s="1"/>
  <c r="O478" i="1" a="1"/>
  <c r="O478" i="1" s="1"/>
  <c r="O479" i="1" a="1"/>
  <c r="O479" i="1" s="1"/>
  <c r="O480" i="1" a="1"/>
  <c r="O480" i="1"/>
  <c r="O481" i="1" a="1"/>
  <c r="O481" i="1" s="1"/>
  <c r="O482" i="1" a="1"/>
  <c r="O482" i="1" s="1"/>
  <c r="O483" i="1" a="1"/>
  <c r="O483" i="1" s="1"/>
  <c r="O484" i="1" a="1"/>
  <c r="O484" i="1" s="1"/>
  <c r="O485" i="1" a="1"/>
  <c r="O485" i="1" s="1"/>
  <c r="O486" i="1" a="1"/>
  <c r="O486" i="1"/>
  <c r="O487" i="1" a="1"/>
  <c r="O487" i="1" s="1"/>
  <c r="O488" i="1" a="1"/>
  <c r="O488" i="1" s="1"/>
  <c r="O489" i="1" a="1"/>
  <c r="O489" i="1" s="1"/>
  <c r="O490" i="1" a="1"/>
  <c r="O490" i="1" s="1"/>
  <c r="O491" i="1" a="1"/>
  <c r="O491" i="1"/>
  <c r="O492" i="1" a="1"/>
  <c r="O492" i="1" s="1"/>
  <c r="O493" i="1" a="1"/>
  <c r="O493" i="1" s="1"/>
  <c r="O494" i="1" a="1"/>
  <c r="O494" i="1" s="1"/>
  <c r="O495" i="1" a="1"/>
  <c r="O495" i="1"/>
  <c r="O496" i="1" a="1"/>
  <c r="O496" i="1" s="1"/>
  <c r="O497" i="1" a="1"/>
  <c r="O497" i="1" s="1"/>
  <c r="O498" i="1" a="1"/>
  <c r="O498" i="1"/>
  <c r="O499" i="1" a="1"/>
  <c r="O499" i="1" s="1"/>
  <c r="O500" i="1" a="1"/>
  <c r="O500" i="1"/>
  <c r="O501" i="1" a="1"/>
  <c r="O501" i="1" s="1"/>
  <c r="O502" i="1" a="1"/>
  <c r="O502" i="1" s="1"/>
  <c r="O503" i="1" a="1"/>
  <c r="O503" i="1"/>
  <c r="O504" i="1" a="1"/>
  <c r="O504" i="1" s="1"/>
  <c r="O505" i="1" a="1"/>
  <c r="O505" i="1" s="1"/>
  <c r="O506" i="1" a="1"/>
  <c r="O506" i="1" s="1"/>
  <c r="O507" i="1" a="1"/>
  <c r="O507" i="1"/>
  <c r="O508" i="1" a="1"/>
  <c r="O508" i="1"/>
  <c r="O509" i="1" a="1"/>
  <c r="O509" i="1" s="1"/>
  <c r="O510" i="1" a="1"/>
  <c r="O510" i="1" s="1"/>
  <c r="O511" i="1" a="1"/>
  <c r="O511" i="1" s="1"/>
  <c r="O512" i="1" a="1"/>
  <c r="O512" i="1"/>
  <c r="O513" i="1" a="1"/>
  <c r="O513" i="1" s="1"/>
  <c r="O514" i="1" a="1"/>
  <c r="O514" i="1" s="1"/>
  <c r="O515" i="1" a="1"/>
  <c r="O515" i="1" s="1"/>
  <c r="O516" i="1" a="1"/>
  <c r="O516" i="1"/>
  <c r="O517" i="1" a="1"/>
  <c r="O517" i="1" s="1"/>
  <c r="O518" i="1" a="1"/>
  <c r="O518" i="1"/>
  <c r="O519" i="1" a="1"/>
  <c r="O519" i="1" s="1"/>
  <c r="O520" i="1" a="1"/>
  <c r="O520" i="1" s="1"/>
  <c r="O521" i="1" a="1"/>
  <c r="O521" i="1" s="1"/>
  <c r="O522" i="1" a="1"/>
  <c r="O522" i="1"/>
  <c r="O523" i="1" a="1"/>
  <c r="O523" i="1"/>
  <c r="O524" i="1" a="1"/>
  <c r="O524" i="1" s="1"/>
  <c r="O525" i="1" a="1"/>
  <c r="O525" i="1" s="1"/>
  <c r="O526" i="1" a="1"/>
  <c r="O526" i="1" s="1"/>
  <c r="O527" i="1" a="1"/>
  <c r="O527" i="1"/>
  <c r="O528" i="1" a="1"/>
  <c r="O528" i="1" s="1"/>
  <c r="O529" i="1" a="1"/>
  <c r="O529" i="1" s="1"/>
  <c r="O530" i="1" a="1"/>
  <c r="O530" i="1"/>
  <c r="O531" i="1" a="1"/>
  <c r="O531" i="1" s="1"/>
  <c r="O532" i="1" a="1"/>
  <c r="O532" i="1"/>
  <c r="O533" i="1" a="1"/>
  <c r="O533" i="1" s="1"/>
  <c r="O534" i="1" a="1"/>
  <c r="O534" i="1" s="1"/>
  <c r="O535" i="1" a="1"/>
  <c r="O535" i="1"/>
  <c r="O536" i="1" a="1"/>
  <c r="O536" i="1" s="1"/>
  <c r="O537" i="1" a="1"/>
  <c r="O537" i="1" s="1"/>
  <c r="O538" i="1" a="1"/>
  <c r="O538" i="1" s="1"/>
  <c r="O539" i="1" a="1"/>
  <c r="O539" i="1"/>
  <c r="O540" i="1" a="1"/>
  <c r="O540" i="1"/>
  <c r="O541" i="1" a="1"/>
  <c r="O541" i="1" s="1"/>
  <c r="O542" i="1" a="1"/>
  <c r="O542" i="1" s="1"/>
  <c r="O543" i="1" a="1"/>
  <c r="O543" i="1" s="1"/>
  <c r="O544" i="1" a="1"/>
  <c r="O544" i="1"/>
  <c r="O545" i="1" a="1"/>
  <c r="O545" i="1" s="1"/>
  <c r="O546" i="1" a="1"/>
  <c r="O546" i="1"/>
  <c r="O547" i="1" a="1"/>
  <c r="O547" i="1" s="1"/>
  <c r="O548" i="1" a="1"/>
  <c r="O548" i="1" s="1"/>
  <c r="O549" i="1" a="1"/>
  <c r="O549" i="1" s="1"/>
  <c r="O550" i="1" a="1"/>
  <c r="O550" i="1"/>
  <c r="O551" i="1" a="1"/>
  <c r="O551" i="1" s="1"/>
  <c r="O552" i="1" a="1"/>
  <c r="O552" i="1" s="1"/>
  <c r="O553" i="1" a="1"/>
  <c r="O553" i="1" s="1"/>
  <c r="O554" i="1" a="1"/>
  <c r="O554" i="1" s="1"/>
  <c r="O555" i="1" a="1"/>
  <c r="O555" i="1" s="1"/>
  <c r="O556" i="1" a="1"/>
  <c r="O556" i="1" s="1"/>
  <c r="O557" i="1" a="1"/>
  <c r="O557" i="1" s="1"/>
  <c r="O558" i="1" a="1"/>
  <c r="O558" i="1"/>
  <c r="O559" i="1" a="1"/>
  <c r="O559" i="1" s="1"/>
  <c r="O560" i="1" a="1"/>
  <c r="O560" i="1" s="1"/>
  <c r="O561" i="1" a="1"/>
  <c r="O561" i="1" s="1"/>
  <c r="O562" i="1" a="1"/>
  <c r="O562" i="1" s="1"/>
  <c r="O563" i="1" a="1"/>
  <c r="O563" i="1"/>
  <c r="O564" i="1" a="1"/>
  <c r="O564" i="1" s="1"/>
  <c r="O565" i="1" a="1"/>
  <c r="O565" i="1" s="1"/>
  <c r="O566" i="1" a="1"/>
  <c r="O566" i="1" s="1"/>
  <c r="O567" i="1" a="1"/>
  <c r="O567" i="1" s="1"/>
  <c r="O568" i="1" a="1"/>
  <c r="O568" i="1"/>
  <c r="O569" i="1" a="1"/>
  <c r="O569" i="1" s="1"/>
  <c r="O570" i="1" a="1"/>
  <c r="O570" i="1" s="1"/>
  <c r="O571" i="1" a="1"/>
  <c r="O571" i="1"/>
  <c r="O572" i="1" a="1"/>
  <c r="O572" i="1" s="1"/>
  <c r="O573" i="1" a="1"/>
  <c r="O573" i="1" s="1"/>
  <c r="O574" i="1" a="1"/>
  <c r="O574" i="1" s="1"/>
  <c r="O575" i="1" a="1"/>
  <c r="O575" i="1" s="1"/>
  <c r="O576" i="1" a="1"/>
  <c r="O576" i="1"/>
  <c r="O577" i="1" a="1"/>
  <c r="O577" i="1" s="1"/>
  <c r="O578" i="1" a="1"/>
  <c r="O578" i="1" s="1"/>
  <c r="O579" i="1" a="1"/>
  <c r="O579" i="1" s="1"/>
  <c r="O580" i="1" a="1"/>
  <c r="O580" i="1" s="1"/>
  <c r="O581" i="1" a="1"/>
  <c r="O581" i="1" s="1"/>
  <c r="O582" i="1" a="1"/>
  <c r="O582" i="1"/>
  <c r="O583" i="1" a="1"/>
  <c r="O583" i="1" s="1"/>
  <c r="O584" i="1" a="1"/>
  <c r="O584" i="1" s="1"/>
  <c r="O585" i="1" a="1"/>
  <c r="O585" i="1" s="1"/>
  <c r="O586" i="1" a="1"/>
  <c r="O586" i="1" s="1"/>
  <c r="O587" i="1" a="1"/>
  <c r="O587" i="1"/>
  <c r="O588" i="1" a="1"/>
  <c r="O588" i="1" s="1"/>
  <c r="O589" i="1" a="1"/>
  <c r="O589" i="1" s="1"/>
  <c r="O590" i="1" a="1"/>
  <c r="O590" i="1"/>
  <c r="O591" i="1" a="1"/>
  <c r="O591" i="1" s="1"/>
  <c r="O592" i="1" a="1"/>
  <c r="O592" i="1" s="1"/>
  <c r="O593" i="1" a="1"/>
  <c r="O593" i="1" s="1"/>
  <c r="O594" i="1" a="1"/>
  <c r="O594" i="1"/>
  <c r="O595" i="1" a="1"/>
  <c r="O595" i="1"/>
  <c r="O596" i="1" a="1"/>
  <c r="O596" i="1" s="1"/>
  <c r="O597" i="1" a="1"/>
  <c r="O597" i="1" s="1"/>
  <c r="O598" i="1" a="1"/>
  <c r="O598" i="1" s="1"/>
  <c r="O599" i="1" a="1"/>
  <c r="O599" i="1"/>
  <c r="O600" i="1" a="1"/>
  <c r="O600" i="1"/>
  <c r="O601" i="1" a="1"/>
  <c r="O601" i="1" s="1"/>
  <c r="O602" i="1" a="1"/>
  <c r="O602" i="1" s="1"/>
  <c r="O603" i="1" a="1"/>
  <c r="O603" i="1" s="1"/>
  <c r="O604" i="1" a="1"/>
  <c r="O604" i="1"/>
  <c r="O605" i="1" a="1"/>
  <c r="O605" i="1" s="1"/>
  <c r="O606" i="1" a="1"/>
  <c r="O606" i="1" s="1"/>
  <c r="O607" i="1" a="1"/>
  <c r="O607" i="1" s="1"/>
  <c r="O608" i="1" a="1"/>
  <c r="O608" i="1" s="1"/>
  <c r="O609" i="1" a="1"/>
  <c r="O609" i="1" s="1"/>
  <c r="O610" i="1" a="1"/>
  <c r="O610" i="1"/>
  <c r="O611" i="1" a="1"/>
  <c r="O611" i="1" s="1"/>
  <c r="O612" i="1" a="1"/>
  <c r="O612" i="1"/>
  <c r="O613" i="1" a="1"/>
  <c r="O613" i="1" s="1"/>
  <c r="O614" i="1" a="1"/>
  <c r="O614" i="1" s="1"/>
  <c r="O615" i="1" a="1"/>
  <c r="O615" i="1" s="1"/>
  <c r="O616" i="1" a="1"/>
  <c r="O616" i="1"/>
  <c r="O617" i="1" a="1"/>
  <c r="O617" i="1" s="1"/>
  <c r="O618" i="1" a="1"/>
  <c r="O618" i="1"/>
  <c r="O619" i="1" a="1"/>
  <c r="O619" i="1" s="1"/>
  <c r="O620" i="1" a="1"/>
  <c r="O620" i="1" s="1"/>
  <c r="O621" i="1" a="1"/>
  <c r="O621" i="1"/>
  <c r="O622" i="1" a="1"/>
  <c r="O622" i="1" s="1"/>
  <c r="O623" i="1" a="1"/>
  <c r="O623" i="1" s="1"/>
  <c r="O624" i="1" a="1"/>
  <c r="O624" i="1"/>
  <c r="O625" i="1" a="1"/>
  <c r="O625" i="1" s="1"/>
  <c r="O626" i="1" a="1"/>
  <c r="O626" i="1" s="1"/>
  <c r="O627" i="1" a="1"/>
  <c r="O627" i="1" s="1"/>
  <c r="O628" i="1" a="1"/>
  <c r="O628" i="1"/>
  <c r="O629" i="1" a="1"/>
  <c r="O629" i="1"/>
  <c r="O630" i="1" a="1"/>
  <c r="O630" i="1" s="1"/>
  <c r="O631" i="1" a="1"/>
  <c r="O631" i="1" s="1"/>
  <c r="O632" i="1" a="1"/>
  <c r="O632" i="1"/>
  <c r="O633" i="1" a="1"/>
  <c r="O633" i="1"/>
  <c r="O634" i="1" a="1"/>
  <c r="O634" i="1" s="1"/>
  <c r="O635" i="1" a="1"/>
  <c r="O635" i="1" s="1"/>
  <c r="O636" i="1" a="1"/>
  <c r="O636" i="1" s="1"/>
  <c r="O637" i="1" a="1"/>
  <c r="O637" i="1"/>
  <c r="O638" i="1" a="1"/>
  <c r="O638" i="1"/>
  <c r="O639" i="1" a="1"/>
  <c r="O639" i="1" s="1"/>
  <c r="O640" i="1" a="1"/>
  <c r="O640" i="1" s="1"/>
  <c r="O641" i="1" a="1"/>
  <c r="O641" i="1"/>
  <c r="O642" i="1" a="1"/>
  <c r="O642" i="1"/>
  <c r="O643" i="1" a="1"/>
  <c r="O643" i="1" s="1"/>
  <c r="O644" i="1" a="1"/>
  <c r="O644" i="1"/>
  <c r="O645" i="1" a="1"/>
  <c r="O645" i="1" s="1"/>
  <c r="O646" i="1" a="1"/>
  <c r="O646" i="1"/>
  <c r="O647" i="1" a="1"/>
  <c r="O647" i="1" s="1"/>
  <c r="O648" i="1" a="1"/>
  <c r="O648" i="1"/>
  <c r="O649" i="1" a="1"/>
  <c r="O649" i="1" s="1"/>
  <c r="O650" i="1" a="1"/>
  <c r="O650" i="1" s="1"/>
  <c r="O651" i="1" a="1"/>
  <c r="O651" i="1" s="1"/>
  <c r="O652" i="1" a="1"/>
  <c r="O652" i="1"/>
  <c r="O653" i="1" a="1"/>
  <c r="O653" i="1"/>
  <c r="O654" i="1" a="1"/>
  <c r="O654" i="1" s="1"/>
  <c r="O655" i="1" a="1"/>
  <c r="O655" i="1" s="1"/>
  <c r="O656" i="1" a="1"/>
  <c r="O656" i="1" s="1"/>
  <c r="O657" i="1" a="1"/>
  <c r="O657" i="1"/>
  <c r="O658" i="1" a="1"/>
  <c r="O658" i="1" s="1"/>
  <c r="O659" i="1" a="1"/>
  <c r="O659" i="1" s="1"/>
  <c r="O660" i="1" a="1"/>
  <c r="O660" i="1"/>
  <c r="O661" i="1" a="1"/>
  <c r="O661" i="1" s="1"/>
  <c r="O662" i="1" a="1"/>
  <c r="O662" i="1"/>
  <c r="O663" i="1" a="1"/>
  <c r="O663" i="1" s="1"/>
  <c r="O664" i="1" a="1"/>
  <c r="O664" i="1"/>
  <c r="O665" i="1" a="1"/>
  <c r="O665" i="1" s="1"/>
  <c r="O666" i="1" a="1"/>
  <c r="O666" i="1"/>
  <c r="O667" i="1" a="1"/>
  <c r="O667" i="1" s="1"/>
  <c r="O668" i="1" a="1"/>
  <c r="O668" i="1" s="1"/>
  <c r="O669" i="1" a="1"/>
  <c r="O669" i="1"/>
  <c r="O670" i="1" a="1"/>
  <c r="O670" i="1" s="1"/>
  <c r="O671" i="1" a="1"/>
  <c r="O671" i="1" s="1"/>
  <c r="O672" i="1" a="1"/>
  <c r="O672" i="1" s="1"/>
  <c r="O673" i="1" a="1"/>
  <c r="O673" i="1"/>
  <c r="O674" i="1" a="1"/>
  <c r="O674" i="1"/>
  <c r="O675" i="1" a="1"/>
  <c r="O675" i="1" s="1"/>
  <c r="O676" i="1" a="1"/>
  <c r="O676" i="1" s="1"/>
  <c r="O677" i="1" a="1"/>
  <c r="O677" i="1" s="1"/>
  <c r="O678" i="1" a="1"/>
  <c r="O678" i="1"/>
  <c r="O679" i="1" a="1"/>
  <c r="O679" i="1" s="1"/>
  <c r="O680" i="1" a="1"/>
  <c r="O680" i="1"/>
  <c r="O681" i="1" a="1"/>
  <c r="O681" i="1" s="1"/>
  <c r="O682" i="1" a="1"/>
  <c r="O682" i="1"/>
  <c r="O683" i="1" a="1"/>
  <c r="O683" i="1" s="1"/>
  <c r="O684" i="1" a="1"/>
  <c r="O684" i="1"/>
  <c r="O685" i="1" a="1"/>
  <c r="O685" i="1"/>
  <c r="O686" i="1" a="1"/>
  <c r="O686" i="1" s="1"/>
  <c r="O687" i="1" a="1"/>
  <c r="O687" i="1" s="1"/>
  <c r="O688" i="1" a="1"/>
  <c r="O688" i="1"/>
  <c r="O689" i="1" a="1"/>
  <c r="O689" i="1"/>
  <c r="O690" i="1" a="1"/>
  <c r="O690" i="1" s="1"/>
  <c r="O691" i="1" a="1"/>
  <c r="O691" i="1" s="1"/>
  <c r="O692" i="1" a="1"/>
  <c r="O692" i="1" s="1"/>
  <c r="O693" i="1" a="1"/>
  <c r="O693" i="1"/>
  <c r="O694" i="1" a="1"/>
  <c r="O694" i="1"/>
  <c r="O695" i="1" a="1"/>
  <c r="O695" i="1" s="1"/>
  <c r="O696" i="1" a="1"/>
  <c r="O696" i="1" s="1"/>
  <c r="O697" i="1" a="1"/>
  <c r="O697" i="1"/>
  <c r="O698" i="1" a="1"/>
  <c r="O698" i="1"/>
  <c r="O699" i="1" a="1"/>
  <c r="O699" i="1" s="1"/>
  <c r="O700" i="1" a="1"/>
  <c r="O700" i="1" s="1"/>
  <c r="O701" i="1" a="1"/>
  <c r="O701" i="1" s="1"/>
  <c r="O702" i="1" a="1"/>
  <c r="O702" i="1"/>
  <c r="O703" i="1" a="1"/>
  <c r="O703" i="1" s="1"/>
  <c r="O704" i="1" a="1"/>
  <c r="O704" i="1" s="1"/>
  <c r="O705" i="1" a="1"/>
  <c r="O705" i="1"/>
  <c r="O706" i="1" a="1"/>
  <c r="O706" i="1" s="1"/>
  <c r="O707" i="1" a="1"/>
  <c r="O707" i="1" s="1"/>
  <c r="O708" i="1" a="1"/>
  <c r="O708" i="1"/>
  <c r="O709" i="1" a="1"/>
  <c r="O709" i="1" s="1"/>
  <c r="O710" i="1" a="1"/>
  <c r="O710" i="1"/>
  <c r="O711" i="1" a="1"/>
  <c r="O711" i="1" s="1"/>
  <c r="O712" i="1" a="1"/>
  <c r="O712" i="1" s="1"/>
  <c r="O713" i="1" a="1"/>
  <c r="O713" i="1" s="1"/>
  <c r="O714" i="1" a="1"/>
  <c r="O714" i="1"/>
  <c r="O715" i="1" a="1"/>
  <c r="O715" i="1" s="1"/>
  <c r="O716" i="1" a="1"/>
  <c r="O716" i="1"/>
  <c r="O717" i="1" a="1"/>
  <c r="O717" i="1" s="1"/>
  <c r="O718" i="1" a="1"/>
  <c r="O718" i="1" s="1"/>
  <c r="O719" i="1" a="1"/>
  <c r="O719" i="1" s="1"/>
  <c r="O720" i="1" a="1"/>
  <c r="O720" i="1"/>
  <c r="O721" i="1" a="1"/>
  <c r="O721" i="1"/>
  <c r="O722" i="1" a="1"/>
  <c r="O722" i="1" s="1"/>
  <c r="O723" i="1" a="1"/>
  <c r="O723" i="1" s="1"/>
  <c r="O724" i="1" a="1"/>
  <c r="O724" i="1"/>
  <c r="O725" i="1" a="1"/>
  <c r="O725" i="1"/>
  <c r="O726" i="1" a="1"/>
  <c r="O726" i="1"/>
  <c r="O727" i="1" a="1"/>
  <c r="O727" i="1" s="1"/>
  <c r="O728" i="1" a="1"/>
  <c r="O728" i="1"/>
  <c r="O729" i="1" a="1"/>
  <c r="O729" i="1"/>
  <c r="O730" i="1" a="1"/>
  <c r="O730" i="1"/>
  <c r="O731" i="1" a="1"/>
  <c r="O731" i="1" s="1"/>
  <c r="O732" i="1" a="1"/>
  <c r="O732" i="1" s="1"/>
  <c r="O733" i="1" a="1"/>
  <c r="O733" i="1"/>
  <c r="O734" i="1" a="1"/>
  <c r="O734" i="1"/>
  <c r="O735" i="1" a="1"/>
  <c r="O735" i="1" s="1"/>
  <c r="O736" i="1" a="1"/>
  <c r="O736" i="1" s="1"/>
  <c r="O737" i="1" a="1"/>
  <c r="O737" i="1" s="1"/>
  <c r="O738" i="1" a="1"/>
  <c r="O738" i="1"/>
  <c r="O739" i="1" a="1"/>
  <c r="O739" i="1" s="1"/>
  <c r="O740" i="1" a="1"/>
  <c r="O740" i="1"/>
  <c r="O741" i="1" a="1"/>
  <c r="O741" i="1" s="1"/>
  <c r="O742" i="1" a="1"/>
  <c r="O742" i="1" s="1"/>
  <c r="O743" i="1" a="1"/>
  <c r="O743" i="1" s="1"/>
  <c r="O744" i="1" a="1"/>
  <c r="O744" i="1"/>
  <c r="O745" i="1" a="1"/>
  <c r="O745" i="1" s="1"/>
  <c r="O746" i="1" a="1"/>
  <c r="O746" i="1"/>
  <c r="O747" i="1" a="1"/>
  <c r="O747" i="1" s="1"/>
  <c r="O748" i="1" a="1"/>
  <c r="O748" i="1" s="1"/>
  <c r="O749" i="1" a="1"/>
  <c r="O749" i="1"/>
  <c r="O750" i="1" a="1"/>
  <c r="O750" i="1" s="1"/>
  <c r="O751" i="1" a="1"/>
  <c r="O751" i="1" s="1"/>
  <c r="O752" i="1" a="1"/>
  <c r="O752" i="1"/>
  <c r="O753" i="1" a="1"/>
  <c r="O753" i="1" s="1"/>
  <c r="O754" i="1" a="1"/>
  <c r="O754" i="1" s="1"/>
  <c r="O755" i="1" a="1"/>
  <c r="O755" i="1" s="1"/>
  <c r="O756" i="1" a="1"/>
  <c r="O756" i="1"/>
  <c r="O757" i="1" a="1"/>
  <c r="O757" i="1"/>
  <c r="O758" i="1" a="1"/>
  <c r="O758" i="1" s="1"/>
  <c r="O759" i="1" a="1"/>
  <c r="O759" i="1" s="1"/>
  <c r="O760" i="1" a="1"/>
  <c r="O760" i="1"/>
  <c r="O761" i="1" a="1"/>
  <c r="O761" i="1"/>
  <c r="O762" i="1" a="1"/>
  <c r="O762" i="1" s="1"/>
  <c r="O763" i="1" a="1"/>
  <c r="O763" i="1" s="1"/>
  <c r="O764" i="1" a="1"/>
  <c r="O764" i="1" s="1"/>
  <c r="O765" i="1" a="1"/>
  <c r="O765" i="1"/>
  <c r="O766" i="1" a="1"/>
  <c r="O766" i="1"/>
  <c r="O767" i="1" a="1"/>
  <c r="O767" i="1" s="1"/>
  <c r="O768" i="1" a="1"/>
  <c r="O768" i="1" s="1"/>
  <c r="O769" i="1" a="1"/>
  <c r="O769" i="1"/>
  <c r="O770" i="1" a="1"/>
  <c r="O770" i="1"/>
  <c r="O771" i="1" a="1"/>
  <c r="O771" i="1" s="1"/>
  <c r="O772" i="1" a="1"/>
  <c r="O772" i="1"/>
  <c r="O773" i="1" a="1"/>
  <c r="O773" i="1" s="1"/>
  <c r="O774" i="1" a="1"/>
  <c r="O774" i="1"/>
  <c r="O775" i="1" a="1"/>
  <c r="O775" i="1" s="1"/>
  <c r="O776" i="1" a="1"/>
  <c r="O776" i="1"/>
  <c r="O777" i="1" a="1"/>
  <c r="O777" i="1" s="1"/>
  <c r="O778" i="1" a="1"/>
  <c r="O778" i="1" s="1"/>
  <c r="O779" i="1" a="1"/>
  <c r="O779" i="1" s="1"/>
  <c r="O780" i="1" a="1"/>
  <c r="O780" i="1"/>
  <c r="O781" i="1" a="1"/>
  <c r="O781" i="1"/>
  <c r="O782" i="1" a="1"/>
  <c r="O782" i="1" s="1"/>
  <c r="O783" i="1" a="1"/>
  <c r="O783" i="1" s="1"/>
  <c r="O784" i="1" a="1"/>
  <c r="O784" i="1" s="1"/>
  <c r="O785" i="1" a="1"/>
  <c r="O785" i="1"/>
  <c r="O786" i="1" a="1"/>
  <c r="O786" i="1" s="1"/>
  <c r="O787" i="1" a="1"/>
  <c r="O787" i="1" s="1"/>
  <c r="O788" i="1" a="1"/>
  <c r="O788" i="1"/>
  <c r="O789" i="1" a="1"/>
  <c r="O789" i="1" s="1"/>
  <c r="O790" i="1" a="1"/>
  <c r="O790" i="1"/>
  <c r="O791" i="1" a="1"/>
  <c r="O791" i="1" s="1"/>
  <c r="O792" i="1" a="1"/>
  <c r="O792" i="1"/>
  <c r="O793" i="1" a="1"/>
  <c r="O793" i="1" s="1"/>
  <c r="O794" i="1" a="1"/>
  <c r="O794" i="1"/>
  <c r="O795" i="1" a="1"/>
  <c r="O795" i="1" s="1"/>
  <c r="O796" i="1" a="1"/>
  <c r="O796" i="1" s="1"/>
  <c r="O797" i="1" a="1"/>
  <c r="O797" i="1"/>
  <c r="O798" i="1" a="1"/>
  <c r="O798" i="1" s="1"/>
  <c r="O799" i="1" a="1"/>
  <c r="O799" i="1" s="1"/>
  <c r="O800" i="1" a="1"/>
  <c r="O800" i="1" s="1"/>
  <c r="O801" i="1" a="1"/>
  <c r="O801" i="1"/>
  <c r="O802" i="1" a="1"/>
  <c r="O802" i="1"/>
  <c r="O803" i="1" a="1"/>
  <c r="O803" i="1" s="1"/>
  <c r="O804" i="1" a="1"/>
  <c r="O804" i="1" s="1"/>
  <c r="O805" i="1" a="1"/>
  <c r="O805" i="1" s="1"/>
  <c r="O806" i="1" a="1"/>
  <c r="O806" i="1"/>
  <c r="O807" i="1" a="1"/>
  <c r="O807" i="1" s="1"/>
  <c r="O808" i="1" a="1"/>
  <c r="O808" i="1"/>
  <c r="O809" i="1" a="1"/>
  <c r="O809" i="1" s="1"/>
  <c r="O810" i="1" a="1"/>
  <c r="O810" i="1"/>
  <c r="O811" i="1" a="1"/>
  <c r="O811" i="1" s="1"/>
  <c r="O812" i="1" a="1"/>
  <c r="O812" i="1"/>
  <c r="O813" i="1" a="1"/>
  <c r="O813" i="1"/>
  <c r="O814" i="1" a="1"/>
  <c r="O814" i="1" s="1"/>
  <c r="O815" i="1" a="1"/>
  <c r="O815" i="1" s="1"/>
  <c r="O816" i="1" a="1"/>
  <c r="O816" i="1"/>
  <c r="O817" i="1" a="1"/>
  <c r="O817" i="1"/>
  <c r="O818" i="1" a="1"/>
  <c r="O818" i="1" s="1"/>
  <c r="O819" i="1" a="1"/>
  <c r="O819" i="1" s="1"/>
  <c r="O820" i="1" a="1"/>
  <c r="O820" i="1" s="1"/>
  <c r="O821" i="1" a="1"/>
  <c r="O821" i="1"/>
  <c r="O822" i="1" a="1"/>
  <c r="O822" i="1"/>
  <c r="O823" i="1" a="1"/>
  <c r="O823" i="1" s="1"/>
  <c r="O824" i="1" a="1"/>
  <c r="O824" i="1" s="1"/>
  <c r="O825" i="1" a="1"/>
  <c r="O825" i="1"/>
  <c r="O826" i="1" a="1"/>
  <c r="O826" i="1"/>
  <c r="O827" i="1" a="1"/>
  <c r="O827" i="1" s="1"/>
  <c r="O828" i="1" a="1"/>
  <c r="O828" i="1" s="1"/>
  <c r="O829" i="1" a="1"/>
  <c r="O829" i="1" s="1"/>
  <c r="O830" i="1" a="1"/>
  <c r="O830" i="1"/>
  <c r="O831" i="1" a="1"/>
  <c r="O831" i="1" s="1"/>
  <c r="O832" i="1" a="1"/>
  <c r="O832" i="1" s="1"/>
  <c r="O833" i="1" a="1"/>
  <c r="O833" i="1"/>
  <c r="O834" i="1" a="1"/>
  <c r="O834" i="1" s="1"/>
  <c r="O835" i="1" a="1"/>
  <c r="O835" i="1" s="1"/>
  <c r="O836" i="1" a="1"/>
  <c r="O836" i="1"/>
  <c r="D55" i="2"/>
  <c r="H95" i="2"/>
  <c r="C56" i="2"/>
  <c r="E65" i="2"/>
  <c r="H93" i="2"/>
  <c r="B59" i="2"/>
  <c r="E63" i="2"/>
  <c r="C16" i="2"/>
  <c r="D56" i="2"/>
  <c r="H84" i="2"/>
  <c r="E31" i="2"/>
  <c r="F59" i="2"/>
  <c r="H82" i="2"/>
  <c r="C7" i="2"/>
  <c r="G40" i="2"/>
  <c r="G59" i="2"/>
  <c r="J81" i="2"/>
  <c r="G38" i="2"/>
  <c r="G57" i="2"/>
  <c r="G94" i="2"/>
  <c r="B58" i="2"/>
  <c r="E72" i="2"/>
  <c r="E19" i="2"/>
  <c r="E56" i="2"/>
  <c r="E67" i="2"/>
  <c r="C4" i="2"/>
  <c r="F37" i="2"/>
  <c r="F56" i="2"/>
  <c r="I80" i="2"/>
  <c r="E27" i="2"/>
  <c r="E59" i="2"/>
  <c r="J79" i="2"/>
  <c r="F41" i="2"/>
  <c r="H58" i="2"/>
  <c r="E100" i="2"/>
  <c r="C58" i="2"/>
  <c r="F58" i="2"/>
  <c r="E107" i="2"/>
  <c r="E28" i="2"/>
  <c r="D59" i="2"/>
  <c r="H79" i="2"/>
  <c r="E22" i="2"/>
  <c r="D57" i="2"/>
  <c r="H85" i="2"/>
  <c r="E32" i="2"/>
  <c r="G55" i="2"/>
  <c r="J85" i="2"/>
  <c r="F39" i="2"/>
  <c r="E55" i="2"/>
  <c r="E106" i="2"/>
  <c r="H94" i="2"/>
  <c r="C55" i="2"/>
  <c r="E64" i="2"/>
  <c r="G95" i="2"/>
  <c r="B55" i="2"/>
  <c r="E73" i="2"/>
  <c r="E20" i="2"/>
  <c r="E57" i="2"/>
  <c r="I84" i="2"/>
  <c r="E30" i="2"/>
  <c r="C57" i="2"/>
  <c r="B56" i="2"/>
  <c r="J82" i="2"/>
  <c r="G39" i="2"/>
  <c r="G58" i="2"/>
  <c r="J80" i="2"/>
  <c r="G37" i="2"/>
  <c r="H59" i="2"/>
  <c r="E101" i="2"/>
  <c r="C59" i="2"/>
  <c r="H83" i="2"/>
  <c r="C10" i="2"/>
  <c r="G41" i="2"/>
  <c r="H56" i="2"/>
  <c r="I81" i="2"/>
  <c r="C13" i="2"/>
  <c r="F55" i="2"/>
  <c r="I79" i="2"/>
  <c r="E33" i="2"/>
  <c r="G56" i="2"/>
  <c r="G93" i="2"/>
  <c r="B57" i="2"/>
  <c r="E68" i="2"/>
  <c r="E99" i="2"/>
  <c r="F38" i="2"/>
  <c r="J84" i="2"/>
  <c r="H80" i="2"/>
  <c r="E23" i="2"/>
  <c r="D58" i="2"/>
  <c r="E74" i="2"/>
  <c r="E21" i="2"/>
  <c r="E58" i="2"/>
  <c r="I85" i="2"/>
  <c r="F40" i="2"/>
  <c r="H57" i="2"/>
  <c r="I83" i="2"/>
  <c r="E29" i="2"/>
  <c r="J83" i="2"/>
  <c r="I82" i="2"/>
  <c r="H81" i="2"/>
  <c r="E66" i="2"/>
  <c r="H55" i="2"/>
  <c r="F57"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<sst xmlns="http://schemas.openxmlformats.org/spreadsheetml/2006/main" count="6889" uniqueCount="971">
  <si>
    <t>ID</t>
  </si>
  <si>
    <t>Name</t>
  </si>
  <si>
    <t>Surname</t>
  </si>
  <si>
    <t>Age</t>
  </si>
  <si>
    <t>Tenure</t>
  </si>
  <si>
    <t>Gender</t>
  </si>
  <si>
    <t>Region</t>
  </si>
  <si>
    <t>Department</t>
  </si>
  <si>
    <t>Manager</t>
  </si>
  <si>
    <t>Hours</t>
  </si>
  <si>
    <t>Salary Band</t>
  </si>
  <si>
    <t>FTE Salary</t>
  </si>
  <si>
    <t>Salary</t>
  </si>
  <si>
    <t>Performance</t>
  </si>
  <si>
    <t>Susan</t>
  </si>
  <si>
    <t>Gomez</t>
  </si>
  <si>
    <t>Northeast</t>
  </si>
  <si>
    <t>Marketing</t>
  </si>
  <si>
    <t>no</t>
  </si>
  <si>
    <t>T4</t>
  </si>
  <si>
    <t>bottom</t>
  </si>
  <si>
    <t>Matthew</t>
  </si>
  <si>
    <t>Jones</t>
  </si>
  <si>
    <t>West</t>
  </si>
  <si>
    <t>Sales</t>
  </si>
  <si>
    <t>T3</t>
  </si>
  <si>
    <t>top</t>
  </si>
  <si>
    <t>Nancy</t>
  </si>
  <si>
    <t>Arias</t>
  </si>
  <si>
    <t>average</t>
  </si>
  <si>
    <t>Benjamin</t>
  </si>
  <si>
    <t>Williams</t>
  </si>
  <si>
    <t>Customer Support</t>
  </si>
  <si>
    <t>Melissa</t>
  </si>
  <si>
    <t>Nicholson</t>
  </si>
  <si>
    <t>Southeast</t>
  </si>
  <si>
    <t>Operations and production</t>
  </si>
  <si>
    <t>T2</t>
  </si>
  <si>
    <t>Sarah</t>
  </si>
  <si>
    <t>Jennings</t>
  </si>
  <si>
    <t>Nathan</t>
  </si>
  <si>
    <t>Marshall</t>
  </si>
  <si>
    <t>T1</t>
  </si>
  <si>
    <t>Gwendolyn</t>
  </si>
  <si>
    <t>Turner</t>
  </si>
  <si>
    <t>Midwest</t>
  </si>
  <si>
    <t>Richard</t>
  </si>
  <si>
    <t>Hayes</t>
  </si>
  <si>
    <t>Jesus</t>
  </si>
  <si>
    <t>Roberts</t>
  </si>
  <si>
    <t>Southwest</t>
  </si>
  <si>
    <t>yes</t>
  </si>
  <si>
    <t>T5</t>
  </si>
  <si>
    <t>Irma</t>
  </si>
  <si>
    <t>Hinojosa</t>
  </si>
  <si>
    <t>Dawn</t>
  </si>
  <si>
    <t>Lee</t>
  </si>
  <si>
    <t>Whitney</t>
  </si>
  <si>
    <t>Terry</t>
  </si>
  <si>
    <t>Harris</t>
  </si>
  <si>
    <t>Danielle</t>
  </si>
  <si>
    <t>Brown</t>
  </si>
  <si>
    <t>Amador</t>
  </si>
  <si>
    <t>Roybal</t>
  </si>
  <si>
    <t>Finance</t>
  </si>
  <si>
    <t>David</t>
  </si>
  <si>
    <t>Nguyen</t>
  </si>
  <si>
    <t>Norma</t>
  </si>
  <si>
    <t>Lugo</t>
  </si>
  <si>
    <t>Jennifer</t>
  </si>
  <si>
    <t>Scott</t>
  </si>
  <si>
    <t>Hernandez</t>
  </si>
  <si>
    <t>James</t>
  </si>
  <si>
    <t>Bradford</t>
  </si>
  <si>
    <t>Noemí</t>
  </si>
  <si>
    <t>Mora</t>
  </si>
  <si>
    <t>Alta Gracia</t>
  </si>
  <si>
    <t>Alonzo</t>
  </si>
  <si>
    <t>Ramón</t>
  </si>
  <si>
    <t>Valenzuela</t>
  </si>
  <si>
    <t>Karla</t>
  </si>
  <si>
    <t>Flórez</t>
  </si>
  <si>
    <t>Cathy</t>
  </si>
  <si>
    <t>Smith</t>
  </si>
  <si>
    <t>Enrique</t>
  </si>
  <si>
    <t>Sandoval</t>
  </si>
  <si>
    <t>Theresa</t>
  </si>
  <si>
    <t>Gonzalez</t>
  </si>
  <si>
    <t>Chase</t>
  </si>
  <si>
    <t>Patricia</t>
  </si>
  <si>
    <t>Anderson</t>
  </si>
  <si>
    <t>Lisa</t>
  </si>
  <si>
    <t>Reid</t>
  </si>
  <si>
    <t>Charles</t>
  </si>
  <si>
    <t>Molina</t>
  </si>
  <si>
    <t>Tracy</t>
  </si>
  <si>
    <t>Rojas</t>
  </si>
  <si>
    <t>Wolf</t>
  </si>
  <si>
    <t>Robert</t>
  </si>
  <si>
    <t>Jackson</t>
  </si>
  <si>
    <t>Jonathan</t>
  </si>
  <si>
    <t>Stout</t>
  </si>
  <si>
    <t>Norman</t>
  </si>
  <si>
    <t>Williamson</t>
  </si>
  <si>
    <t>Kelly</t>
  </si>
  <si>
    <t>Ray</t>
  </si>
  <si>
    <t>Michael</t>
  </si>
  <si>
    <t>Jensen</t>
  </si>
  <si>
    <t>Gabrielle</t>
  </si>
  <si>
    <t>Mckenzie</t>
  </si>
  <si>
    <t>Jose</t>
  </si>
  <si>
    <t>Franklin</t>
  </si>
  <si>
    <t>Sean</t>
  </si>
  <si>
    <t>Walker</t>
  </si>
  <si>
    <t>Rebecca</t>
  </si>
  <si>
    <t>Carolyn</t>
  </si>
  <si>
    <t>Cruz</t>
  </si>
  <si>
    <t>Joseph</t>
  </si>
  <si>
    <t>Patterson</t>
  </si>
  <si>
    <t>Leadership</t>
  </si>
  <si>
    <t>Gutierrez</t>
  </si>
  <si>
    <t>Mark</t>
  </si>
  <si>
    <t>Horton</t>
  </si>
  <si>
    <t>Sandra</t>
  </si>
  <si>
    <t>Ávila</t>
  </si>
  <si>
    <t>Brooks</t>
  </si>
  <si>
    <t>Espartaco</t>
  </si>
  <si>
    <t>Garay</t>
  </si>
  <si>
    <t>Lopez</t>
  </si>
  <si>
    <t>Jesse</t>
  </si>
  <si>
    <t>Mcguire</t>
  </si>
  <si>
    <t>Laura</t>
  </si>
  <si>
    <t>Cox</t>
  </si>
  <si>
    <t>Samantha</t>
  </si>
  <si>
    <t>Mahoney</t>
  </si>
  <si>
    <t>Emily</t>
  </si>
  <si>
    <t>Ritter</t>
  </si>
  <si>
    <t>Cristal</t>
  </si>
  <si>
    <t>Campos</t>
  </si>
  <si>
    <t>Diane</t>
  </si>
  <si>
    <t>Gates</t>
  </si>
  <si>
    <t>Angulo</t>
  </si>
  <si>
    <t>Singh</t>
  </si>
  <si>
    <t>Quinn</t>
  </si>
  <si>
    <t>Katherine</t>
  </si>
  <si>
    <t>Adams</t>
  </si>
  <si>
    <t>Tina</t>
  </si>
  <si>
    <t>Donna</t>
  </si>
  <si>
    <t>Davis</t>
  </si>
  <si>
    <t>Anabel</t>
  </si>
  <si>
    <t>Esparza</t>
  </si>
  <si>
    <t>Montgomery</t>
  </si>
  <si>
    <t>Mary</t>
  </si>
  <si>
    <t>Ingram</t>
  </si>
  <si>
    <t>Marisela</t>
  </si>
  <si>
    <t>Reynoso</t>
  </si>
  <si>
    <t>Joshua</t>
  </si>
  <si>
    <t>Andre</t>
  </si>
  <si>
    <t>Daniels</t>
  </si>
  <si>
    <t>Patrick</t>
  </si>
  <si>
    <t>Kurt</t>
  </si>
  <si>
    <t>Henry</t>
  </si>
  <si>
    <t>Christopher</t>
  </si>
  <si>
    <t>Cook</t>
  </si>
  <si>
    <t>Stafford</t>
  </si>
  <si>
    <t>Mayte</t>
  </si>
  <si>
    <t>Robles</t>
  </si>
  <si>
    <t>Jaime</t>
  </si>
  <si>
    <t>Vallejo</t>
  </si>
  <si>
    <t>Marcela</t>
  </si>
  <si>
    <t>Carvajal</t>
  </si>
  <si>
    <t>Clinton</t>
  </si>
  <si>
    <t>Woods</t>
  </si>
  <si>
    <t>Kristen</t>
  </si>
  <si>
    <t>Ward</t>
  </si>
  <si>
    <t>Paul</t>
  </si>
  <si>
    <t>Sutton</t>
  </si>
  <si>
    <t>Vaca</t>
  </si>
  <si>
    <t>Rubén</t>
  </si>
  <si>
    <t>Ulloa</t>
  </si>
  <si>
    <t>Ellen</t>
  </si>
  <si>
    <t>Sharp</t>
  </si>
  <si>
    <t>John</t>
  </si>
  <si>
    <t>Walsh</t>
  </si>
  <si>
    <t>Frey</t>
  </si>
  <si>
    <t>Jacqueline</t>
  </si>
  <si>
    <t>Hancock</t>
  </si>
  <si>
    <t>Jill</t>
  </si>
  <si>
    <t>Baker</t>
  </si>
  <si>
    <t>Steven</t>
  </si>
  <si>
    <t>Fox</t>
  </si>
  <si>
    <t>Navarro</t>
  </si>
  <si>
    <t>Human Resources</t>
  </si>
  <si>
    <t>Jorge</t>
  </si>
  <si>
    <t>Thompson</t>
  </si>
  <si>
    <t>Samuel</t>
  </si>
  <si>
    <t>Storey</t>
  </si>
  <si>
    <t>Valadez</t>
  </si>
  <si>
    <t>Sibilla</t>
  </si>
  <si>
    <t>Hellwig</t>
  </si>
  <si>
    <t>Hall</t>
  </si>
  <si>
    <t>Joyce</t>
  </si>
  <si>
    <t>Allen</t>
  </si>
  <si>
    <t>Odom</t>
  </si>
  <si>
    <t>Brian</t>
  </si>
  <si>
    <t>Aguilar</t>
  </si>
  <si>
    <t>Cynthia</t>
  </si>
  <si>
    <t>Mooney</t>
  </si>
  <si>
    <t>Leonard</t>
  </si>
  <si>
    <t>Pamela</t>
  </si>
  <si>
    <t>Badillo</t>
  </si>
  <si>
    <t>Singleton</t>
  </si>
  <si>
    <t>Perez</t>
  </si>
  <si>
    <t>Alicia</t>
  </si>
  <si>
    <t>Lira</t>
  </si>
  <si>
    <t>Benjamín</t>
  </si>
  <si>
    <t>Toledo</t>
  </si>
  <si>
    <t>Agustín</t>
  </si>
  <si>
    <t>Duarte</t>
  </si>
  <si>
    <t>Terrell</t>
  </si>
  <si>
    <t>Concepción</t>
  </si>
  <si>
    <t>Villalobos</t>
  </si>
  <si>
    <t>Gabriel</t>
  </si>
  <si>
    <t>Gilbert</t>
  </si>
  <si>
    <t>Tanya</t>
  </si>
  <si>
    <t>Serafín</t>
  </si>
  <si>
    <t>Montemayor</t>
  </si>
  <si>
    <t>Артем</t>
  </si>
  <si>
    <t>Якушев</t>
  </si>
  <si>
    <t>Perry</t>
  </si>
  <si>
    <t>Hahn</t>
  </si>
  <si>
    <t>Monica</t>
  </si>
  <si>
    <t>Rosales</t>
  </si>
  <si>
    <t>Yvette</t>
  </si>
  <si>
    <t>Webb</t>
  </si>
  <si>
    <t>Kyle</t>
  </si>
  <si>
    <t>Bailey</t>
  </si>
  <si>
    <t>Tom</t>
  </si>
  <si>
    <t>Campbell</t>
  </si>
  <si>
    <t>Nicholas</t>
  </si>
  <si>
    <t>Young</t>
  </si>
  <si>
    <t>Karen</t>
  </si>
  <si>
    <t>Orr</t>
  </si>
  <si>
    <t>Micaela</t>
  </si>
  <si>
    <t>Feliciano</t>
  </si>
  <si>
    <t>Dana</t>
  </si>
  <si>
    <t>Johnson</t>
  </si>
  <si>
    <t>Marisol</t>
  </si>
  <si>
    <t>Heredia</t>
  </si>
  <si>
    <t>Trevor</t>
  </si>
  <si>
    <t>Cannon</t>
  </si>
  <si>
    <t>Clara</t>
  </si>
  <si>
    <t>Maestas</t>
  </si>
  <si>
    <t>Brenda</t>
  </si>
  <si>
    <t>Shannon</t>
  </si>
  <si>
    <t>Javier</t>
  </si>
  <si>
    <t>Sharon</t>
  </si>
  <si>
    <t>Rodgers</t>
  </si>
  <si>
    <t>Chad</t>
  </si>
  <si>
    <t>Diaz</t>
  </si>
  <si>
    <t>Rodriguez</t>
  </si>
  <si>
    <t>Bowman</t>
  </si>
  <si>
    <t>Rocha</t>
  </si>
  <si>
    <t>Mariah</t>
  </si>
  <si>
    <t>Sellers</t>
  </si>
  <si>
    <t>Desiree</t>
  </si>
  <si>
    <t>Sanchez</t>
  </si>
  <si>
    <t>Fuller</t>
  </si>
  <si>
    <t>Michelle</t>
  </si>
  <si>
    <t>Santiago</t>
  </si>
  <si>
    <t>Amy</t>
  </si>
  <si>
    <t>Hoffman</t>
  </si>
  <si>
    <t>Collins</t>
  </si>
  <si>
    <t>Washington</t>
  </si>
  <si>
    <t>Evelio</t>
  </si>
  <si>
    <t>Baca</t>
  </si>
  <si>
    <t>Cameron</t>
  </si>
  <si>
    <t>Morris</t>
  </si>
  <si>
    <t>Teresa</t>
  </si>
  <si>
    <t>Mccarthy</t>
  </si>
  <si>
    <t>Holland</t>
  </si>
  <si>
    <t>Thomas</t>
  </si>
  <si>
    <t>Barnes</t>
  </si>
  <si>
    <t>Douglas</t>
  </si>
  <si>
    <t>Crawford</t>
  </si>
  <si>
    <t>Flores</t>
  </si>
  <si>
    <t>Johnny</t>
  </si>
  <si>
    <t>Castro</t>
  </si>
  <si>
    <t>Austin</t>
  </si>
  <si>
    <t>Linda</t>
  </si>
  <si>
    <t>Lori</t>
  </si>
  <si>
    <t>Bowers</t>
  </si>
  <si>
    <t>Carlson</t>
  </si>
  <si>
    <t>Brittany</t>
  </si>
  <si>
    <t>Carter</t>
  </si>
  <si>
    <t>Diego</t>
  </si>
  <si>
    <t>Estévez</t>
  </si>
  <si>
    <t>Murphy</t>
  </si>
  <si>
    <t>Andres</t>
  </si>
  <si>
    <t>Weeks</t>
  </si>
  <si>
    <t>Grant</t>
  </si>
  <si>
    <t>Jody</t>
  </si>
  <si>
    <t>Caldwell</t>
  </si>
  <si>
    <t>Amelia</t>
  </si>
  <si>
    <t>Gutiérrez</t>
  </si>
  <si>
    <t>Erica</t>
  </si>
  <si>
    <t>King</t>
  </si>
  <si>
    <t>Jessica</t>
  </si>
  <si>
    <t>Anthony</t>
  </si>
  <si>
    <t>Armstrong</t>
  </si>
  <si>
    <t>Ian</t>
  </si>
  <si>
    <t>Martinez</t>
  </si>
  <si>
    <t>Lawrence</t>
  </si>
  <si>
    <t>Fletcher</t>
  </si>
  <si>
    <t>Ashley</t>
  </si>
  <si>
    <t>Courtney</t>
  </si>
  <si>
    <t>Kristin</t>
  </si>
  <si>
    <t>Hughes</t>
  </si>
  <si>
    <t>Noah</t>
  </si>
  <si>
    <t>Houston</t>
  </si>
  <si>
    <t>Mónica</t>
  </si>
  <si>
    <t>Quiñones</t>
  </si>
  <si>
    <t>María Luisa</t>
  </si>
  <si>
    <t>Marroquín</t>
  </si>
  <si>
    <t>Howe</t>
  </si>
  <si>
    <t>Stephanie</t>
  </si>
  <si>
    <t>Noble</t>
  </si>
  <si>
    <t>Celia</t>
  </si>
  <si>
    <t>Rico</t>
  </si>
  <si>
    <t>Julie</t>
  </si>
  <si>
    <t>Myers</t>
  </si>
  <si>
    <t>Shelby</t>
  </si>
  <si>
    <t>Richardson</t>
  </si>
  <si>
    <t>Angela</t>
  </si>
  <si>
    <t>Elliott</t>
  </si>
  <si>
    <t>Christine</t>
  </si>
  <si>
    <t>Trejo</t>
  </si>
  <si>
    <t>Bruce</t>
  </si>
  <si>
    <t>Jack</t>
  </si>
  <si>
    <t>Eloy</t>
  </si>
  <si>
    <t>Orta</t>
  </si>
  <si>
    <t>Conway</t>
  </si>
  <si>
    <t>Acosta</t>
  </si>
  <si>
    <t>Ramos</t>
  </si>
  <si>
    <t>Lindsey</t>
  </si>
  <si>
    <t>Alexander</t>
  </si>
  <si>
    <t>Tara</t>
  </si>
  <si>
    <t>Stephenson</t>
  </si>
  <si>
    <t>Seth</t>
  </si>
  <si>
    <t>Weber</t>
  </si>
  <si>
    <t>Jeffrey</t>
  </si>
  <si>
    <t>White</t>
  </si>
  <si>
    <t>Margarita</t>
  </si>
  <si>
    <t>Aparicio</t>
  </si>
  <si>
    <t>Carmona</t>
  </si>
  <si>
    <t>Latoya</t>
  </si>
  <si>
    <t>Glen</t>
  </si>
  <si>
    <t>Bryan</t>
  </si>
  <si>
    <t>Hanson</t>
  </si>
  <si>
    <t>Wayne</t>
  </si>
  <si>
    <t>Moore</t>
  </si>
  <si>
    <t>Melinda</t>
  </si>
  <si>
    <t>Hart</t>
  </si>
  <si>
    <t>Donald</t>
  </si>
  <si>
    <t>Compton</t>
  </si>
  <si>
    <t>Robinson</t>
  </si>
  <si>
    <t>Ruby</t>
  </si>
  <si>
    <t>Aldonza</t>
  </si>
  <si>
    <t>Abreu</t>
  </si>
  <si>
    <t>Timothy</t>
  </si>
  <si>
    <t>Daniel</t>
  </si>
  <si>
    <t>Green</t>
  </si>
  <si>
    <t>Monique</t>
  </si>
  <si>
    <t>Gardner</t>
  </si>
  <si>
    <t>Matthews</t>
  </si>
  <si>
    <t>Bradley</t>
  </si>
  <si>
    <t>Reese</t>
  </si>
  <si>
    <t>Gregory</t>
  </si>
  <si>
    <t>José Carlos</t>
  </si>
  <si>
    <t>Luevano</t>
  </si>
  <si>
    <t>Hays</t>
  </si>
  <si>
    <t>Cody</t>
  </si>
  <si>
    <t>Shepherd</t>
  </si>
  <si>
    <t>Joy</t>
  </si>
  <si>
    <t>Roman</t>
  </si>
  <si>
    <t>Andrew</t>
  </si>
  <si>
    <t>Mason</t>
  </si>
  <si>
    <t>Wade</t>
  </si>
  <si>
    <t>Reynolds</t>
  </si>
  <si>
    <t>Marissa</t>
  </si>
  <si>
    <t>Caroline</t>
  </si>
  <si>
    <t>William</t>
  </si>
  <si>
    <t>Hannah</t>
  </si>
  <si>
    <t>Wood</t>
  </si>
  <si>
    <t>Dean</t>
  </si>
  <si>
    <t>Burke</t>
  </si>
  <si>
    <t>Mendez</t>
  </si>
  <si>
    <t>Rachel</t>
  </si>
  <si>
    <t>Humphrey</t>
  </si>
  <si>
    <t>Frank</t>
  </si>
  <si>
    <t>Erika</t>
  </si>
  <si>
    <t>Gonzales</t>
  </si>
  <si>
    <t>Martin</t>
  </si>
  <si>
    <t>Wells</t>
  </si>
  <si>
    <t>Phillips</t>
  </si>
  <si>
    <t>Wilson</t>
  </si>
  <si>
    <t>Pilar</t>
  </si>
  <si>
    <t>Colunga</t>
  </si>
  <si>
    <t>Cristian</t>
  </si>
  <si>
    <t>Denise</t>
  </si>
  <si>
    <t>Waters</t>
  </si>
  <si>
    <t>Taylor</t>
  </si>
  <si>
    <t>Elvia</t>
  </si>
  <si>
    <t>Montaño</t>
  </si>
  <si>
    <t>Maximiliano</t>
  </si>
  <si>
    <t>Soto</t>
  </si>
  <si>
    <t>Gerónimo</t>
  </si>
  <si>
    <t>Cano</t>
  </si>
  <si>
    <t>Warner</t>
  </si>
  <si>
    <t>George</t>
  </si>
  <si>
    <t>Flynn</t>
  </si>
  <si>
    <t>Amalia</t>
  </si>
  <si>
    <t>Verduzco</t>
  </si>
  <si>
    <t>Maria</t>
  </si>
  <si>
    <t>Gould</t>
  </si>
  <si>
    <t>Jimmy</t>
  </si>
  <si>
    <t>Conner</t>
  </si>
  <si>
    <t>Snyder</t>
  </si>
  <si>
    <t>Rhonda</t>
  </si>
  <si>
    <t>Mcdonald</t>
  </si>
  <si>
    <t>Kevin</t>
  </si>
  <si>
    <t>Andrea</t>
  </si>
  <si>
    <t>Murillo</t>
  </si>
  <si>
    <t>Stephen</t>
  </si>
  <si>
    <t>Boone</t>
  </si>
  <si>
    <t>Moreno</t>
  </si>
  <si>
    <t>María del Carmen</t>
  </si>
  <si>
    <t>Enríquez</t>
  </si>
  <si>
    <t>Antonia</t>
  </si>
  <si>
    <t>de la Rosa</t>
  </si>
  <si>
    <t>Cassandra</t>
  </si>
  <si>
    <t>Billy</t>
  </si>
  <si>
    <t>Rosalia</t>
  </si>
  <si>
    <t>Pantoja</t>
  </si>
  <si>
    <t>Roberto</t>
  </si>
  <si>
    <t>Hoffmann</t>
  </si>
  <si>
    <t>Holloway</t>
  </si>
  <si>
    <t>Blevins</t>
  </si>
  <si>
    <t>Parkin</t>
  </si>
  <si>
    <t>Debbie</t>
  </si>
  <si>
    <t>Nayeli</t>
  </si>
  <si>
    <t>Hurtado</t>
  </si>
  <si>
    <t>Cory</t>
  </si>
  <si>
    <t>Sosa</t>
  </si>
  <si>
    <t>Eddie</t>
  </si>
  <si>
    <t>Mcclure</t>
  </si>
  <si>
    <t>Helena</t>
  </si>
  <si>
    <t>Suárez</t>
  </si>
  <si>
    <t>Pace</t>
  </si>
  <si>
    <t>Makayla</t>
  </si>
  <si>
    <t>Bradshaw</t>
  </si>
  <si>
    <t>Antonio</t>
  </si>
  <si>
    <t>Иларион</t>
  </si>
  <si>
    <t>Стрелков</t>
  </si>
  <si>
    <t>Teodoro</t>
  </si>
  <si>
    <t>Ornelas</t>
  </si>
  <si>
    <t>Diana</t>
  </si>
  <si>
    <t>Arriaga</t>
  </si>
  <si>
    <t>Silvano</t>
  </si>
  <si>
    <t>Rodríguez</t>
  </si>
  <si>
    <t>Eric</t>
  </si>
  <si>
    <t>Harrison</t>
  </si>
  <si>
    <t>Jaclyn</t>
  </si>
  <si>
    <t>Dixon</t>
  </si>
  <si>
    <t>Burton</t>
  </si>
  <si>
    <t>Leah</t>
  </si>
  <si>
    <t>María</t>
  </si>
  <si>
    <t>Oquendo</t>
  </si>
  <si>
    <t>del Río</t>
  </si>
  <si>
    <t>Crystal</t>
  </si>
  <si>
    <t>Marcus</t>
  </si>
  <si>
    <t>Munoz</t>
  </si>
  <si>
    <t>Armando</t>
  </si>
  <si>
    <t>Nieto</t>
  </si>
  <si>
    <t>Jon</t>
  </si>
  <si>
    <t>Ariadna</t>
  </si>
  <si>
    <t>Melgar</t>
  </si>
  <si>
    <t>Adam</t>
  </si>
  <si>
    <t>Coffey</t>
  </si>
  <si>
    <t>Rose</t>
  </si>
  <si>
    <t>Judy</t>
  </si>
  <si>
    <t>Burns</t>
  </si>
  <si>
    <t>Justin</t>
  </si>
  <si>
    <t>Howard</t>
  </si>
  <si>
    <t>Jacinto</t>
  </si>
  <si>
    <t>Tejada</t>
  </si>
  <si>
    <t>Gail</t>
  </si>
  <si>
    <t>Chambers</t>
  </si>
  <si>
    <t>Jonathon</t>
  </si>
  <si>
    <t>Meyers</t>
  </si>
  <si>
    <t>Bernal</t>
  </si>
  <si>
    <t>Clark</t>
  </si>
  <si>
    <t>Hamilton</t>
  </si>
  <si>
    <t>Renee</t>
  </si>
  <si>
    <t>Jamie</t>
  </si>
  <si>
    <t>Beverly</t>
  </si>
  <si>
    <t>Holmes</t>
  </si>
  <si>
    <t>Nelson</t>
  </si>
  <si>
    <t>Keller</t>
  </si>
  <si>
    <t>Rivera</t>
  </si>
  <si>
    <t>Kimberly</t>
  </si>
  <si>
    <t>Jordan</t>
  </si>
  <si>
    <t>Hardin</t>
  </si>
  <si>
    <t>Foster</t>
  </si>
  <si>
    <t>Hodges</t>
  </si>
  <si>
    <t>Simmons</t>
  </si>
  <si>
    <t>Kaufman</t>
  </si>
  <si>
    <t>Rosa</t>
  </si>
  <si>
    <t>Estrada</t>
  </si>
  <si>
    <t>Max</t>
  </si>
  <si>
    <t>Hopkins</t>
  </si>
  <si>
    <t>Lauren</t>
  </si>
  <si>
    <t>Lynn</t>
  </si>
  <si>
    <t>Katerina</t>
  </si>
  <si>
    <t>Dörschner</t>
  </si>
  <si>
    <t>Jonás</t>
  </si>
  <si>
    <t>Yáñez</t>
  </si>
  <si>
    <t>Travis</t>
  </si>
  <si>
    <t>Mcpherson</t>
  </si>
  <si>
    <t>Isabel</t>
  </si>
  <si>
    <t>Miller</t>
  </si>
  <si>
    <t>Leslie</t>
  </si>
  <si>
    <t>Dalia</t>
  </si>
  <si>
    <t>Montalvo</t>
  </si>
  <si>
    <t>Marilyn</t>
  </si>
  <si>
    <t>Davies</t>
  </si>
  <si>
    <t>Jasmine</t>
  </si>
  <si>
    <t>Hunt</t>
  </si>
  <si>
    <t>Barnett</t>
  </si>
  <si>
    <t>Miguel</t>
  </si>
  <si>
    <t>Martínez</t>
  </si>
  <si>
    <t>Lane</t>
  </si>
  <si>
    <t>Koch</t>
  </si>
  <si>
    <t>Larry</t>
  </si>
  <si>
    <t>Small</t>
  </si>
  <si>
    <t>Christie</t>
  </si>
  <si>
    <t>Ponce</t>
  </si>
  <si>
    <t>Elizabeth</t>
  </si>
  <si>
    <t>Romero</t>
  </si>
  <si>
    <t>Vincent</t>
  </si>
  <si>
    <t>Larson</t>
  </si>
  <si>
    <t>Velázquez</t>
  </si>
  <si>
    <t>Derrick</t>
  </si>
  <si>
    <t>Russo</t>
  </si>
  <si>
    <t>Tammy</t>
  </si>
  <si>
    <t>Fisher</t>
  </si>
  <si>
    <t>Jerry</t>
  </si>
  <si>
    <t>Santana</t>
  </si>
  <si>
    <t>Esquibel</t>
  </si>
  <si>
    <t>Hill</t>
  </si>
  <si>
    <t>Esteban</t>
  </si>
  <si>
    <t>Porras</t>
  </si>
  <si>
    <t>Cross</t>
  </si>
  <si>
    <t>Brooke</t>
  </si>
  <si>
    <t>Sherman</t>
  </si>
  <si>
    <t>Ronald</t>
  </si>
  <si>
    <t>Bishop</t>
  </si>
  <si>
    <t>Wang</t>
  </si>
  <si>
    <t>Estela</t>
  </si>
  <si>
    <t>Todd</t>
  </si>
  <si>
    <t>Freeman</t>
  </si>
  <si>
    <t>Barajas</t>
  </si>
  <si>
    <t>Леонтий</t>
  </si>
  <si>
    <t>Никифоров</t>
  </si>
  <si>
    <t>Megan</t>
  </si>
  <si>
    <t>Arnold</t>
  </si>
  <si>
    <t>Gabriela</t>
  </si>
  <si>
    <t>Carla</t>
  </si>
  <si>
    <t>Escobedo</t>
  </si>
  <si>
    <t>Jason</t>
  </si>
  <si>
    <t>Peterson</t>
  </si>
  <si>
    <t>Garcia</t>
  </si>
  <si>
    <t>Calvin</t>
  </si>
  <si>
    <t>Gonzalo</t>
  </si>
  <si>
    <t>Mateo</t>
  </si>
  <si>
    <t>Stein</t>
  </si>
  <si>
    <t>Julio César</t>
  </si>
  <si>
    <t>Gallegos</t>
  </si>
  <si>
    <t>Amanda</t>
  </si>
  <si>
    <t>Melody</t>
  </si>
  <si>
    <t>Skinner</t>
  </si>
  <si>
    <t>Genaro</t>
  </si>
  <si>
    <t>Balderas</t>
  </si>
  <si>
    <t>Zachary</t>
  </si>
  <si>
    <t>Manning</t>
  </si>
  <si>
    <t>Parsons</t>
  </si>
  <si>
    <t>Humberto</t>
  </si>
  <si>
    <t>Regalado</t>
  </si>
  <si>
    <t>Наина</t>
  </si>
  <si>
    <t>Мясникова</t>
  </si>
  <si>
    <t>Tyrone</t>
  </si>
  <si>
    <t>Wise</t>
  </si>
  <si>
    <t>Hunter</t>
  </si>
  <si>
    <t>Jeremy</t>
  </si>
  <si>
    <t>Dalton</t>
  </si>
  <si>
    <t>Tonya</t>
  </si>
  <si>
    <t>Patel</t>
  </si>
  <si>
    <t>Jodi</t>
  </si>
  <si>
    <t>Ewing</t>
  </si>
  <si>
    <t>Carrie</t>
  </si>
  <si>
    <t>Albert</t>
  </si>
  <si>
    <t>Mata</t>
  </si>
  <si>
    <t>Arthur</t>
  </si>
  <si>
    <t>Wright</t>
  </si>
  <si>
    <t>Peter</t>
  </si>
  <si>
    <t>Morgan</t>
  </si>
  <si>
    <t>Velez</t>
  </si>
  <si>
    <t>Aurora</t>
  </si>
  <si>
    <t>Edward</t>
  </si>
  <si>
    <t>Bray</t>
  </si>
  <si>
    <t>Tyler</t>
  </si>
  <si>
    <t>Garrison</t>
  </si>
  <si>
    <t>Fernando</t>
  </si>
  <si>
    <t>Mireles</t>
  </si>
  <si>
    <t>Kenneth</t>
  </si>
  <si>
    <t>Barber</t>
  </si>
  <si>
    <t>Óscar</t>
  </si>
  <si>
    <t>Dulce</t>
  </si>
  <si>
    <t>Elizondo</t>
  </si>
  <si>
    <t>Harrington</t>
  </si>
  <si>
    <t>Mosley</t>
  </si>
  <si>
    <t>Abbott</t>
  </si>
  <si>
    <t>Anna</t>
  </si>
  <si>
    <t>Fischer</t>
  </si>
  <si>
    <t>Regina</t>
  </si>
  <si>
    <t>Socorro</t>
  </si>
  <si>
    <t>Haro</t>
  </si>
  <si>
    <t>Jacobs</t>
  </si>
  <si>
    <t>Pope</t>
  </si>
  <si>
    <t>Phillip</t>
  </si>
  <si>
    <t>Wyatt</t>
  </si>
  <si>
    <t>Ofelia</t>
  </si>
  <si>
    <t>Alonso</t>
  </si>
  <si>
    <t>Alejandro</t>
  </si>
  <si>
    <t>Olivo</t>
  </si>
  <si>
    <t>Эраст</t>
  </si>
  <si>
    <t>Игнатов</t>
  </si>
  <si>
    <t>Gerardo</t>
  </si>
  <si>
    <t>Correa</t>
  </si>
  <si>
    <t>Silva</t>
  </si>
  <si>
    <t>Kirk</t>
  </si>
  <si>
    <t>Le</t>
  </si>
  <si>
    <t>Simpson</t>
  </si>
  <si>
    <t>Darlene</t>
  </si>
  <si>
    <t>Liu</t>
  </si>
  <si>
    <t>Nathaniel</t>
  </si>
  <si>
    <t>Budig</t>
  </si>
  <si>
    <t>Aaron</t>
  </si>
  <si>
    <t>Rogers</t>
  </si>
  <si>
    <t>Suarez</t>
  </si>
  <si>
    <t>Héctor</t>
  </si>
  <si>
    <t>Montez</t>
  </si>
  <si>
    <t>Gordon</t>
  </si>
  <si>
    <t>Jake</t>
  </si>
  <si>
    <t>English</t>
  </si>
  <si>
    <t>Luis</t>
  </si>
  <si>
    <t>Rubio</t>
  </si>
  <si>
    <t>Schneider</t>
  </si>
  <si>
    <t>Watkins</t>
  </si>
  <si>
    <t>Mann</t>
  </si>
  <si>
    <t>María Eugenia</t>
  </si>
  <si>
    <t>Candelaria</t>
  </si>
  <si>
    <t>Octavio</t>
  </si>
  <si>
    <t>Merino</t>
  </si>
  <si>
    <t>Shane</t>
  </si>
  <si>
    <t>Craig</t>
  </si>
  <si>
    <t>Katie</t>
  </si>
  <si>
    <t>Salazar</t>
  </si>
  <si>
    <t>Colon</t>
  </si>
  <si>
    <t>Kerr</t>
  </si>
  <si>
    <t>Goodman</t>
  </si>
  <si>
    <t>Jarvis</t>
  </si>
  <si>
    <t>Sam</t>
  </si>
  <si>
    <t>Archer</t>
  </si>
  <si>
    <t>Cecilia</t>
  </si>
  <si>
    <t>Velasco</t>
  </si>
  <si>
    <t>Darío</t>
  </si>
  <si>
    <t>Benavídez</t>
  </si>
  <si>
    <t>Georgina</t>
  </si>
  <si>
    <t>Gray</t>
  </si>
  <si>
    <t>Black</t>
  </si>
  <si>
    <t>Lilia</t>
  </si>
  <si>
    <t>León</t>
  </si>
  <si>
    <t>Townsend</t>
  </si>
  <si>
    <t>Augusto</t>
  </si>
  <si>
    <t>Ferrer</t>
  </si>
  <si>
    <t>Ronnie</t>
  </si>
  <si>
    <t>Sara</t>
  </si>
  <si>
    <t>Annette</t>
  </si>
  <si>
    <t>Knight</t>
  </si>
  <si>
    <t>Cooke</t>
  </si>
  <si>
    <t>Sullivan</t>
  </si>
  <si>
    <t>Наркис</t>
  </si>
  <si>
    <t>Харитонов</t>
  </si>
  <si>
    <t>Guillermo</t>
  </si>
  <si>
    <t>Jaramillo</t>
  </si>
  <si>
    <t>Bernabé</t>
  </si>
  <si>
    <t>Niño</t>
  </si>
  <si>
    <t>Bethany</t>
  </si>
  <si>
    <t>Mullins</t>
  </si>
  <si>
    <t>Sierra</t>
  </si>
  <si>
    <t>Landry</t>
  </si>
  <si>
    <t>Negrón</t>
  </si>
  <si>
    <t>Alvin</t>
  </si>
  <si>
    <t>Vazquez</t>
  </si>
  <si>
    <t>Wilkinson</t>
  </si>
  <si>
    <t>Gillian</t>
  </si>
  <si>
    <t>Carpenter</t>
  </si>
  <si>
    <t>Tran</t>
  </si>
  <si>
    <t>Manuel</t>
  </si>
  <si>
    <t>Herrera</t>
  </si>
  <si>
    <t>Arcelia</t>
  </si>
  <si>
    <t>Navarrete</t>
  </si>
  <si>
    <t>Adame</t>
  </si>
  <si>
    <t>Derek</t>
  </si>
  <si>
    <t>Vasquez</t>
  </si>
  <si>
    <t>Hudson</t>
  </si>
  <si>
    <t>Ortiz</t>
  </si>
  <si>
    <t>Gabriella</t>
  </si>
  <si>
    <t>Gibbs</t>
  </si>
  <si>
    <t>Branch</t>
  </si>
  <si>
    <t>Luisa</t>
  </si>
  <si>
    <t>Carmen</t>
  </si>
  <si>
    <t>Rivero</t>
  </si>
  <si>
    <t>Olson</t>
  </si>
  <si>
    <t>Yolanda</t>
  </si>
  <si>
    <t>Gibson</t>
  </si>
  <si>
    <t>Benítez</t>
  </si>
  <si>
    <t>Lynch</t>
  </si>
  <si>
    <t>Christina</t>
  </si>
  <si>
    <t>Alyssa</t>
  </si>
  <si>
    <t>Webster</t>
  </si>
  <si>
    <t>Mariano</t>
  </si>
  <si>
    <t>Rodarte</t>
  </si>
  <si>
    <t>Maxwell</t>
  </si>
  <si>
    <t>Ochoa</t>
  </si>
  <si>
    <t>Ruth</t>
  </si>
  <si>
    <t>Spencer</t>
  </si>
  <si>
    <t>Isaac</t>
  </si>
  <si>
    <t>Elisa</t>
  </si>
  <si>
    <t>Piña</t>
  </si>
  <si>
    <t>Wilfrido</t>
  </si>
  <si>
    <t>Páez</t>
  </si>
  <si>
    <t>Roth</t>
  </si>
  <si>
    <t>Parks</t>
  </si>
  <si>
    <t>Lindsay</t>
  </si>
  <si>
    <t>Farrell</t>
  </si>
  <si>
    <t>Calhoun</t>
  </si>
  <si>
    <t>José</t>
  </si>
  <si>
    <t>Portillo</t>
  </si>
  <si>
    <t>Natasha</t>
  </si>
  <si>
    <t>Kendra</t>
  </si>
  <si>
    <t>Alfred</t>
  </si>
  <si>
    <t>Влас</t>
  </si>
  <si>
    <t>Мартынов</t>
  </si>
  <si>
    <t>Pineda</t>
  </si>
  <si>
    <t>Downs</t>
  </si>
  <si>
    <t>Nicole</t>
  </si>
  <si>
    <t>Briseño</t>
  </si>
  <si>
    <t>Montañez</t>
  </si>
  <si>
    <t>Flavio</t>
  </si>
  <si>
    <t>Guerra</t>
  </si>
  <si>
    <t>Kelsey</t>
  </si>
  <si>
    <t>Mitchell</t>
  </si>
  <si>
    <t>Kristine</t>
  </si>
  <si>
    <t>Ríos</t>
  </si>
  <si>
    <t>Leonardo</t>
  </si>
  <si>
    <t>Pelayo</t>
  </si>
  <si>
    <t>Alan</t>
  </si>
  <si>
    <t>Magdalena</t>
  </si>
  <si>
    <t>Domínguez</t>
  </si>
  <si>
    <t>Natalie</t>
  </si>
  <si>
    <t>Garrett</t>
  </si>
  <si>
    <t>Alta  Gracia</t>
  </si>
  <si>
    <t>Carrasco</t>
  </si>
  <si>
    <t>Johnston</t>
  </si>
  <si>
    <t>Lyons</t>
  </si>
  <si>
    <t>Ryan</t>
  </si>
  <si>
    <t>Lester</t>
  </si>
  <si>
    <t>Judith</t>
  </si>
  <si>
    <t>Camilo</t>
  </si>
  <si>
    <t>Zavala</t>
  </si>
  <si>
    <t>Warren</t>
  </si>
  <si>
    <t>Russell</t>
  </si>
  <si>
    <t>Bass</t>
  </si>
  <si>
    <t>Clarke</t>
  </si>
  <si>
    <t>Brandy</t>
  </si>
  <si>
    <t>Dunn</t>
  </si>
  <si>
    <t>Joaquín</t>
  </si>
  <si>
    <t>Olivas</t>
  </si>
  <si>
    <t>Ann</t>
  </si>
  <si>
    <t>Cheryl</t>
  </si>
  <si>
    <t>Sawyer</t>
  </si>
  <si>
    <t>Evans</t>
  </si>
  <si>
    <t>Nolan</t>
  </si>
  <si>
    <t>Torres</t>
  </si>
  <si>
    <t>Vanesa</t>
  </si>
  <si>
    <t>Saldaña</t>
  </si>
  <si>
    <t>Morales</t>
  </si>
  <si>
    <t>Holder</t>
  </si>
  <si>
    <t>Leon</t>
  </si>
  <si>
    <t>Eaton</t>
  </si>
  <si>
    <t>Keith</t>
  </si>
  <si>
    <t>Curtis</t>
  </si>
  <si>
    <t>Caridad</t>
  </si>
  <si>
    <t>Cedillo</t>
  </si>
  <si>
    <t>Mcdaniel</t>
  </si>
  <si>
    <t>Damon</t>
  </si>
  <si>
    <t>Santos</t>
  </si>
  <si>
    <t>Eva</t>
  </si>
  <si>
    <t>Jared</t>
  </si>
  <si>
    <t>Meyer</t>
  </si>
  <si>
    <t>Dennis</t>
  </si>
  <si>
    <t>Oswaldo</t>
  </si>
  <si>
    <t>Apodaca</t>
  </si>
  <si>
    <t>Luis Manuel</t>
  </si>
  <si>
    <t>Sevilla</t>
  </si>
  <si>
    <t>Doyle</t>
  </si>
  <si>
    <t>Fidel</t>
  </si>
  <si>
    <t>Terán</t>
  </si>
  <si>
    <t>Crosby</t>
  </si>
  <si>
    <t>Alvarez</t>
  </si>
  <si>
    <t>Henderson</t>
  </si>
  <si>
    <t>Victor</t>
  </si>
  <si>
    <t>Lawson</t>
  </si>
  <si>
    <t>Mills</t>
  </si>
  <si>
    <t>López</t>
  </si>
  <si>
    <t>Nicolas</t>
  </si>
  <si>
    <t>Bender</t>
  </si>
  <si>
    <t>Emilio</t>
  </si>
  <si>
    <t>Escalante</t>
  </si>
  <si>
    <t>Itzel</t>
  </si>
  <si>
    <t>Santacruz</t>
  </si>
  <si>
    <t>Heather</t>
  </si>
  <si>
    <t>Pittman</t>
  </si>
  <si>
    <t>Griego</t>
  </si>
  <si>
    <t>Hobbs</t>
  </si>
  <si>
    <t>Cain</t>
  </si>
  <si>
    <t>Varela</t>
  </si>
  <si>
    <t>Robertson</t>
  </si>
  <si>
    <t>Lucas</t>
  </si>
  <si>
    <t>Greer</t>
  </si>
  <si>
    <t>Erin</t>
  </si>
  <si>
    <t>Kayla</t>
  </si>
  <si>
    <t>Garza</t>
  </si>
  <si>
    <t>Mcbride</t>
  </si>
  <si>
    <t>Micheal</t>
  </si>
  <si>
    <t>Duran</t>
  </si>
  <si>
    <t>Glenn</t>
  </si>
  <si>
    <t>Begum</t>
  </si>
  <si>
    <t>Germán</t>
  </si>
  <si>
    <t>Patricio</t>
  </si>
  <si>
    <t>Saldivar</t>
  </si>
  <si>
    <t>Holt</t>
  </si>
  <si>
    <t>Trinidad</t>
  </si>
  <si>
    <t>Hermelinda</t>
  </si>
  <si>
    <t>Bahena</t>
  </si>
  <si>
    <t>Mcgrath</t>
  </si>
  <si>
    <t>Mccarty</t>
  </si>
  <si>
    <t>Amber</t>
  </si>
  <si>
    <t>Roach</t>
  </si>
  <si>
    <t>Olivárez</t>
  </si>
  <si>
    <t>Bell</t>
  </si>
  <si>
    <t>Kim</t>
  </si>
  <si>
    <t>Cazares</t>
  </si>
  <si>
    <t>Gabino</t>
  </si>
  <si>
    <t>Gallardo</t>
  </si>
  <si>
    <t>Stuart</t>
  </si>
  <si>
    <t>Reyes</t>
  </si>
  <si>
    <t>Rael</t>
  </si>
  <si>
    <t>Solis</t>
  </si>
  <si>
    <t>Cristina</t>
  </si>
  <si>
    <t>Leach</t>
  </si>
  <si>
    <t>Carranza</t>
  </si>
  <si>
    <t>Evelyne</t>
  </si>
  <si>
    <t>Atzler</t>
  </si>
  <si>
    <t>Эмилия</t>
  </si>
  <si>
    <t>Хохлова</t>
  </si>
  <si>
    <t>Raymond</t>
  </si>
  <si>
    <t>Adriana</t>
  </si>
  <si>
    <t>José Luis</t>
  </si>
  <si>
    <t>Carrera</t>
  </si>
  <si>
    <t>Ilse</t>
  </si>
  <si>
    <t>Almonte</t>
  </si>
  <si>
    <t>Nash</t>
  </si>
  <si>
    <t>Darius</t>
  </si>
  <si>
    <t>Flowers</t>
  </si>
  <si>
    <t>Kirsty</t>
  </si>
  <si>
    <t>Kemp</t>
  </si>
  <si>
    <t>Wolfe</t>
  </si>
  <si>
    <t>Kathryn</t>
  </si>
  <si>
    <t>Oconnor</t>
  </si>
  <si>
    <t>Antony</t>
  </si>
  <si>
    <t>Partida</t>
  </si>
  <si>
    <t>Vicente</t>
  </si>
  <si>
    <t>Cortés</t>
  </si>
  <si>
    <t>Omar</t>
  </si>
  <si>
    <t>Ocampo</t>
  </si>
  <si>
    <t>Sandy</t>
  </si>
  <si>
    <t>Morrison</t>
  </si>
  <si>
    <t>Clemente</t>
  </si>
  <si>
    <t>Esquivel</t>
  </si>
  <si>
    <t>Evan</t>
  </si>
  <si>
    <t>Ricky</t>
  </si>
  <si>
    <t>Sweeney</t>
  </si>
  <si>
    <t>Sanches</t>
  </si>
  <si>
    <t>Boyle</t>
  </si>
  <si>
    <t>Kate</t>
  </si>
  <si>
    <t>Juan</t>
  </si>
  <si>
    <t>Veronica</t>
  </si>
  <si>
    <t>Casey</t>
  </si>
  <si>
    <t>Israel</t>
  </si>
  <si>
    <t>Mejía</t>
  </si>
  <si>
    <t>Leonor</t>
  </si>
  <si>
    <t>Corrales</t>
  </si>
  <si>
    <t>Jeff</t>
  </si>
  <si>
    <t>Brandon</t>
  </si>
  <si>
    <t>Rodrigo</t>
  </si>
  <si>
    <t>Krystal</t>
  </si>
  <si>
    <t>Debra</t>
  </si>
  <si>
    <t>Lloyd</t>
  </si>
  <si>
    <t>Serrano</t>
  </si>
  <si>
    <t>Rolando</t>
  </si>
  <si>
    <t>Meghan</t>
  </si>
  <si>
    <t>Rios</t>
  </si>
  <si>
    <t>Carol</t>
  </si>
  <si>
    <t>Dolores</t>
  </si>
  <si>
    <t>Olivera</t>
  </si>
  <si>
    <t>Rangel</t>
  </si>
  <si>
    <t>Jillian</t>
  </si>
  <si>
    <t>Lewis</t>
  </si>
  <si>
    <t>Chan</t>
  </si>
  <si>
    <t>Esperanza</t>
  </si>
  <si>
    <t>Garrido</t>
  </si>
  <si>
    <t>Chelsey</t>
  </si>
  <si>
    <t>Barton</t>
  </si>
  <si>
    <t>Rebeca</t>
  </si>
  <si>
    <t>Eduardo</t>
  </si>
  <si>
    <t>Raúl</t>
  </si>
  <si>
    <t>Valle</t>
  </si>
  <si>
    <t>Bean</t>
  </si>
  <si>
    <t>Abelardo</t>
  </si>
  <si>
    <t>Botello</t>
  </si>
  <si>
    <t>Male</t>
  </si>
  <si>
    <t>Female</t>
  </si>
  <si>
    <t>Age Group</t>
  </si>
  <si>
    <t>Sum of Salary</t>
  </si>
  <si>
    <t>Average of Salary</t>
  </si>
  <si>
    <t>Average of FTE Salary</t>
  </si>
  <si>
    <t>Row Labels</t>
  </si>
  <si>
    <t>Grand Total</t>
  </si>
  <si>
    <t>Total Salary</t>
  </si>
  <si>
    <t>Average Salary</t>
  </si>
  <si>
    <t>Average FTE Salary</t>
  </si>
  <si>
    <t>Count of ID</t>
  </si>
  <si>
    <t>Column Labels</t>
  </si>
  <si>
    <t xml:space="preserve">Headcount </t>
  </si>
  <si>
    <t>Average of Age</t>
  </si>
  <si>
    <t>Adult</t>
  </si>
  <si>
    <t>Old</t>
  </si>
  <si>
    <t>Count of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</si>
</sst>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quot;$&quot;#,##0.00"/>
    <numFmt numFmtId="165" formatCode="&quot;$&quot;0,\k"/>
  </numFmts>
  <fonts count="3" x14ac:knownFonts="1">
    <font>
      <sz val="11"/>
      <color theme="1"/>
      <name val="Aptos Narrow"/>
      <family val="2"/>
      <scheme val="minor"/>
    </font>
    <font>
      <sz val="9"/>
      <color rgb="FF000000"/>
      <name val="Arial"/>
      <family val="2"/>
    </font>
    <font>
      <sz val="9"/>
      <color rgb="FF000000"/>
      <name val="Arial"/>
      <family val="2"/>
    </font>
  </fonts>
  <fills count="3">
    <fill>
      <patternFill patternType="none"/>
    </fill>
    <fill>
      <patternFill patternType="gray125"/>
    </fill>
    <fill>
      <patternFill patternType="solid">
        <fgColor rgb="FFFCFAEE"/>
        <bgColor indexed="64"/>
      </patternFill>
    </fill>
  </fills>
  <borders count="1">
    <border>
      <left/>
      <right/>
      <top/>
      <bottom/>
      <diagonal/>
    </border>
  </borders>
  <cellStyleXfs count="1">
    <xf numFmtId="0" fontId="0" fillId="0" borderId="0"/>
  </cellStyleXfs>
  <cellXfs count="12">
    <xf numFmtId="0" fontId="0" fillId="0" borderId="0" xfId="0"/>
    <xf numFmtId="0" fontId="1" fillId="0" borderId="0" xfId="0" applyFont="1"/>
    <xf numFmtId="164" fontId="0" fillId="0" borderId="0" xfId="0" applyNumberFormat="1"/>
    <xf numFmtId="44" fontId="1" fillId="0" borderId="0" xfId="0" applyNumberFormat="1" applyFont="1"/>
    <xf numFmtId="44" fontId="0" fillId="0" borderId="0" xfId="0" applyNumberFormat="1"/>
    <xf numFmtId="0" fontId="2" fillId="0" borderId="0" xfId="0" applyFont="1"/>
    <xf numFmtId="0" fontId="0" fillId="0" borderId="0" xfId="0" pivotButton="1"/>
    <xf numFmtId="0" fontId="0" fillId="0" borderId="0" xfId="0" applyAlignment="1">
      <alignment horizontal="left"/>
    </xf>
    <xf numFmtId="1" fontId="0" fillId="0" borderId="0" xfId="0" applyNumberFormat="1"/>
    <xf numFmtId="0" fontId="0" fillId="2" borderId="0" xfId="0" applyFill="1"/>
    <xf numFmtId="165" fontId="0" fillId="0" borderId="0" xfId="0" applyNumberFormat="1"/>
    <xf numFmtId="1" fontId="0" fillId="2" borderId="0" xfId="0" applyNumberFormat="1" applyFill="1"/>
  </cellXfs>
  <cellStyles count="1">
    <cellStyle name="Normal" xfId="0" builtinId="0"/>
  </cellStyles>
  <dxfs count="20">
    <dxf>
      <font>
        <b val="0"/>
        <i val="0"/>
        <strike val="0"/>
        <condense val="0"/>
        <extend val="0"/>
        <outline val="0"/>
        <shadow val="0"/>
        <u val="none"/>
        <vertAlign val="baseline"/>
        <sz val="9"/>
        <color rgb="FF000000"/>
        <name val="Arial"/>
        <scheme val="none"/>
      </font>
      <numFmt numFmtId="0" formatCode="General"/>
    </dxf>
    <dxf>
      <font>
        <b val="0"/>
        <i val="0"/>
        <strike val="0"/>
        <condense val="0"/>
        <extend val="0"/>
        <outline val="0"/>
        <shadow val="0"/>
        <u val="none"/>
        <vertAlign val="baseline"/>
        <sz val="9"/>
        <color rgb="FF000000"/>
        <name val="Arial"/>
        <scheme val="none"/>
      </font>
    </dxf>
    <dxf>
      <font>
        <b val="0"/>
        <i val="0"/>
        <strike val="0"/>
        <condense val="0"/>
        <extend val="0"/>
        <outline val="0"/>
        <shadow val="0"/>
        <u val="none"/>
        <vertAlign val="baseline"/>
        <sz val="9"/>
        <color rgb="FF000000"/>
        <name val="Arial"/>
        <scheme val="none"/>
      </font>
      <numFmt numFmtId="34" formatCode="_(&quot;$&quot;* #,##0.00_);_(&quot;$&quot;* \(#,##0.00\);_(&quot;$&quot;* &quot;-&quot;??_);_(@_)"/>
    </dxf>
    <dxf>
      <font>
        <b val="0"/>
        <i val="0"/>
        <strike val="0"/>
        <condense val="0"/>
        <extend val="0"/>
        <outline val="0"/>
        <shadow val="0"/>
        <u val="none"/>
        <vertAlign val="baseline"/>
        <sz val="9"/>
        <color rgb="FF000000"/>
        <name val="Arial"/>
        <scheme val="none"/>
      </font>
      <numFmt numFmtId="34" formatCode="_(&quot;$&quot;* #,##0.00_);_(&quot;$&quot;* \(#,##0.00\);_(&quot;$&quot;* &quot;-&quot;??_);_(@_)"/>
    </dxf>
    <dxf>
      <font>
        <b val="0"/>
        <i val="0"/>
        <strike val="0"/>
        <condense val="0"/>
        <extend val="0"/>
        <outline val="0"/>
        <shadow val="0"/>
        <u val="none"/>
        <vertAlign val="baseline"/>
        <sz val="9"/>
        <color rgb="FF000000"/>
        <name val="Arial"/>
        <scheme val="none"/>
      </font>
    </dxf>
    <dxf>
      <font>
        <b val="0"/>
        <i val="0"/>
        <strike val="0"/>
        <condense val="0"/>
        <extend val="0"/>
        <outline val="0"/>
        <shadow val="0"/>
        <u val="none"/>
        <vertAlign val="baseline"/>
        <sz val="9"/>
        <color rgb="FF000000"/>
        <name val="Arial"/>
        <scheme val="none"/>
      </font>
    </dxf>
    <dxf>
      <font>
        <b val="0"/>
        <i val="0"/>
        <strike val="0"/>
        <condense val="0"/>
        <extend val="0"/>
        <outline val="0"/>
        <shadow val="0"/>
        <u val="none"/>
        <vertAlign val="baseline"/>
        <sz val="9"/>
        <color rgb="FF000000"/>
        <name val="Arial"/>
        <scheme val="none"/>
      </font>
    </dxf>
    <dxf>
      <font>
        <b val="0"/>
        <i val="0"/>
        <strike val="0"/>
        <condense val="0"/>
        <extend val="0"/>
        <outline val="0"/>
        <shadow val="0"/>
        <u val="none"/>
        <vertAlign val="baseline"/>
        <sz val="9"/>
        <color rgb="FF000000"/>
        <name val="Arial"/>
        <scheme val="none"/>
      </font>
    </dxf>
    <dxf>
      <font>
        <b val="0"/>
        <i val="0"/>
        <strike val="0"/>
        <condense val="0"/>
        <extend val="0"/>
        <outline val="0"/>
        <shadow val="0"/>
        <u val="none"/>
        <vertAlign val="baseline"/>
        <sz val="9"/>
        <color rgb="FF000000"/>
        <name val="Arial"/>
        <scheme val="none"/>
      </font>
    </dxf>
    <dxf>
      <font>
        <b val="0"/>
        <i val="0"/>
        <strike val="0"/>
        <condense val="0"/>
        <extend val="0"/>
        <outline val="0"/>
        <shadow val="0"/>
        <u val="none"/>
        <vertAlign val="baseline"/>
        <sz val="9"/>
        <color rgb="FF000000"/>
        <name val="Arial"/>
        <scheme val="none"/>
      </font>
    </dxf>
    <dxf>
      <font>
        <b val="0"/>
        <i val="0"/>
        <strike val="0"/>
        <condense val="0"/>
        <extend val="0"/>
        <outline val="0"/>
        <shadow val="0"/>
        <u val="none"/>
        <vertAlign val="baseline"/>
        <sz val="9"/>
        <color rgb="FF000000"/>
        <name val="Arial"/>
        <scheme val="none"/>
      </font>
    </dxf>
    <dxf>
      <font>
        <b val="0"/>
        <i val="0"/>
        <strike val="0"/>
        <condense val="0"/>
        <extend val="0"/>
        <outline val="0"/>
        <shadow val="0"/>
        <u val="none"/>
        <vertAlign val="baseline"/>
        <sz val="9"/>
        <color rgb="FF000000"/>
        <name val="Arial"/>
        <scheme val="none"/>
      </font>
    </dxf>
    <dxf>
      <font>
        <b val="0"/>
        <i val="0"/>
        <strike val="0"/>
        <condense val="0"/>
        <extend val="0"/>
        <outline val="0"/>
        <shadow val="0"/>
        <u val="none"/>
        <vertAlign val="baseline"/>
        <sz val="9"/>
        <color rgb="FF000000"/>
        <name val="Arial"/>
        <scheme val="none"/>
      </font>
    </dxf>
    <dxf>
      <font>
        <b val="0"/>
        <i val="0"/>
        <strike val="0"/>
        <condense val="0"/>
        <extend val="0"/>
        <outline val="0"/>
        <shadow val="0"/>
        <u val="none"/>
        <vertAlign val="baseline"/>
        <sz val="9"/>
        <color rgb="FF000000"/>
        <name val="Arial"/>
        <scheme val="none"/>
      </font>
    </dxf>
    <dxf>
      <font>
        <b val="0"/>
        <i val="0"/>
        <strike val="0"/>
        <condense val="0"/>
        <extend val="0"/>
        <outline val="0"/>
        <shadow val="0"/>
        <u val="none"/>
        <vertAlign val="baseline"/>
        <sz val="9"/>
        <color rgb="FF000000"/>
        <name val="Arial"/>
        <scheme val="none"/>
      </font>
    </dxf>
    <dxf>
      <font>
        <b val="0"/>
        <i val="0"/>
        <strike val="0"/>
        <condense val="0"/>
        <extend val="0"/>
        <outline val="0"/>
        <shadow val="0"/>
        <u val="none"/>
        <vertAlign val="baseline"/>
        <sz val="9"/>
        <color rgb="FF000000"/>
        <name val="Arial"/>
        <scheme val="none"/>
      </font>
    </dxf>
    <dxf>
      <font>
        <b val="0"/>
        <i val="0"/>
        <strike val="0"/>
        <condense val="0"/>
        <extend val="0"/>
        <outline val="0"/>
        <shadow val="0"/>
        <u val="none"/>
        <vertAlign val="baseline"/>
        <sz val="9"/>
        <color rgb="FF000000"/>
        <name val="Arial"/>
        <scheme val="none"/>
      </font>
    </dxf>
    <dxf>
      <font>
        <color rgb="FF9C0006"/>
      </font>
      <fill>
        <patternFill>
          <bgColor rgb="FFFFC7CE"/>
        </patternFill>
      </fill>
    </dxf>
    <dxf>
      <font>
        <b/>
        <i val="0"/>
        <sz val="12"/>
        <name val="Calibri"/>
        <family val="2"/>
        <scheme val="none"/>
      </font>
      <fill>
        <patternFill>
          <fgColor rgb="FF035A52"/>
          <bgColor rgb="FF048A7D"/>
        </patternFill>
      </fill>
    </dxf>
    <dxf>
      <font>
        <b/>
        <i val="0"/>
        <sz val="12"/>
        <name val="Calibri"/>
        <family val="2"/>
        <scheme val="none"/>
      </font>
      <fill>
        <patternFill>
          <fgColor rgb="FF035A52"/>
        </patternFill>
      </fill>
    </dxf>
  </dxfs>
  <tableStyles count="1" defaultTableStyle="TableStyleMedium2" defaultPivotStyle="PivotStyleLight16">
    <tableStyle name="Slicer Style 1" pivot="0" table="0" count="4" xr9:uid="{9F09A7D4-A9DC-4FF6-AA95-B6A120C91010}">
      <tableStyleElement type="wholeTable" dxfId="19"/>
      <tableStyleElement type="headerRow" dxfId="18"/>
    </tableStyle>
  </tableStyles>
  <colors>
    <mruColors>
      <color rgb="FF035A52"/>
      <color rgb="FF07C9B7"/>
      <color rgb="FF059184"/>
      <color rgb="FF048A7D"/>
      <color rgb="FF13501B"/>
      <color rgb="FF3B7D23"/>
      <color rgb="FF92D050"/>
      <color rgb="FFD8E267"/>
      <color rgb="FFBDF806"/>
      <color rgb="FF024027"/>
    </mruColors>
  </colors>
  <extLst>
    <ext xmlns:x14="http://schemas.microsoft.com/office/spreadsheetml/2009/9/main" uri="{46F421CA-312F-682f-3DD2-61675219B42D}">
      <x14:dxfs count="2">
        <dxf>
          <font>
            <b/>
            <i val="0"/>
            <sz val="12"/>
            <name val="Calibri"/>
            <family val="2"/>
            <scheme val="none"/>
          </font>
          <fill>
            <patternFill>
              <fgColor theme="2" tint="-0.749961851863155"/>
              <bgColor rgb="FF059184"/>
            </patternFill>
          </fill>
        </dxf>
        <dxf>
          <font>
            <b/>
            <i val="0"/>
            <sz val="12"/>
            <name val="Calibri"/>
            <family val="2"/>
            <scheme val="none"/>
          </font>
          <fill>
            <patternFill>
              <fgColor theme="2" tint="-0.24994659260841701"/>
              <bgColor rgb="FF07C9B7"/>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eetMetadata" Target="metadata.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 tables'!$E$26</c:f>
              <c:strCache>
                <c:ptCount val="1"/>
                <c:pt idx="0">
                  <c:v>Average of Salary</c:v>
                </c:pt>
              </c:strCache>
            </c:strRef>
          </c:tx>
          <c:spPr>
            <a:solidFill>
              <a:schemeClr val="accent1"/>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8-4811-4EC4-84E5-961D46122767}"/>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9-4811-4EC4-84E5-961D46122767}"/>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A-4811-4EC4-84E5-961D46122767}"/>
              </c:ext>
            </c:extLst>
          </c:dPt>
          <c:dPt>
            <c:idx val="3"/>
            <c:invertIfNegative val="0"/>
            <c:bubble3D val="0"/>
            <c:spPr>
              <a:solidFill>
                <a:schemeClr val="accent6">
                  <a:lumMod val="75000"/>
                </a:schemeClr>
              </a:solidFill>
              <a:ln>
                <a:noFill/>
              </a:ln>
              <a:effectLst/>
            </c:spPr>
            <c:extLst>
              <c:ext xmlns:c16="http://schemas.microsoft.com/office/drawing/2014/chart" uri="{C3380CC4-5D6E-409C-BE32-E72D297353CC}">
                <c16:uniqueId val="{0000000B-4811-4EC4-84E5-961D46122767}"/>
              </c:ext>
            </c:extLst>
          </c:dPt>
          <c:dPt>
            <c:idx val="4"/>
            <c:invertIfNegative val="0"/>
            <c:bubble3D val="0"/>
            <c:spPr>
              <a:solidFill>
                <a:schemeClr val="accent6"/>
              </a:solidFill>
              <a:ln>
                <a:noFill/>
              </a:ln>
              <a:effectLst/>
            </c:spPr>
            <c:extLst>
              <c:ext xmlns:c16="http://schemas.microsoft.com/office/drawing/2014/chart" uri="{C3380CC4-5D6E-409C-BE32-E72D297353CC}">
                <c16:uniqueId val="{0000000C-4811-4EC4-84E5-961D46122767}"/>
              </c:ext>
            </c:extLst>
          </c:dPt>
          <c:dPt>
            <c:idx val="5"/>
            <c:invertIfNegative val="0"/>
            <c:bubble3D val="0"/>
            <c:spPr>
              <a:solidFill>
                <a:schemeClr val="accent6">
                  <a:lumMod val="50000"/>
                </a:schemeClr>
              </a:solidFill>
              <a:ln>
                <a:noFill/>
              </a:ln>
              <a:effectLst/>
            </c:spPr>
            <c:extLst>
              <c:ext xmlns:c16="http://schemas.microsoft.com/office/drawing/2014/chart" uri="{C3380CC4-5D6E-409C-BE32-E72D297353CC}">
                <c16:uniqueId val="{0000000D-4811-4EC4-84E5-961D46122767}"/>
              </c:ext>
            </c:extLst>
          </c:dPt>
          <c:dPt>
            <c:idx val="6"/>
            <c:invertIfNegative val="0"/>
            <c:bubble3D val="0"/>
            <c:spPr>
              <a:solidFill>
                <a:srgbClr val="FFC000"/>
              </a:solidFill>
              <a:ln>
                <a:noFill/>
              </a:ln>
              <a:effectLst/>
            </c:spPr>
            <c:extLst>
              <c:ext xmlns:c16="http://schemas.microsoft.com/office/drawing/2014/chart" uri="{C3380CC4-5D6E-409C-BE32-E72D297353CC}">
                <c16:uniqueId val="{0000000E-4811-4EC4-84E5-961D46122767}"/>
              </c:ext>
            </c:extLst>
          </c:dPt>
          <c:dLbls>
            <c:dLbl>
              <c:idx val="0"/>
              <c:layout>
                <c:manualLayout>
                  <c:x val="-0.36629539519561838"/>
                  <c:y val="3.9247407414384724E-7"/>
                </c:manualLayout>
              </c:layout>
              <c:dLblPos val="outEnd"/>
              <c:showLegendKey val="0"/>
              <c:showVal val="1"/>
              <c:showCatName val="1"/>
              <c:showSerName val="0"/>
              <c:showPercent val="0"/>
              <c:showBubbleSize val="0"/>
              <c:extLst>
                <c:ext xmlns:c15="http://schemas.microsoft.com/office/drawing/2012/chart" uri="{CE6537A1-D6FC-4f65-9D91-7224C49458BB}">
                  <c15:layout>
                    <c:manualLayout>
                      <c:w val="0.4141838307933694"/>
                      <c:h val="0.1244609859184227"/>
                    </c:manualLayout>
                  </c15:layout>
                </c:ext>
                <c:ext xmlns:c16="http://schemas.microsoft.com/office/drawing/2014/chart" uri="{C3380CC4-5D6E-409C-BE32-E72D297353CC}">
                  <c16:uniqueId val="{00000008-4811-4EC4-84E5-961D46122767}"/>
                </c:ext>
              </c:extLst>
            </c:dLbl>
            <c:dLbl>
              <c:idx val="1"/>
              <c:dLblPos val="ctr"/>
              <c:showLegendKey val="0"/>
              <c:showVal val="1"/>
              <c:showCatName val="1"/>
              <c:showSerName val="0"/>
              <c:showPercent val="0"/>
              <c:showBubbleSize val="0"/>
              <c:extLst>
                <c:ext xmlns:c15="http://schemas.microsoft.com/office/drawing/2012/chart" uri="{CE6537A1-D6FC-4f65-9D91-7224C49458BB}">
                  <c15:layout>
                    <c:manualLayout>
                      <c:w val="0.33816220054334406"/>
                      <c:h val="0.1342802947794276"/>
                    </c:manualLayout>
                  </c15:layout>
                </c:ext>
                <c:ext xmlns:c16="http://schemas.microsoft.com/office/drawing/2014/chart" uri="{C3380CC4-5D6E-409C-BE32-E72D297353CC}">
                  <c16:uniqueId val="{00000009-4811-4EC4-84E5-961D46122767}"/>
                </c:ext>
              </c:extLst>
            </c:dLbl>
            <c:dLbl>
              <c:idx val="2"/>
              <c:dLblPos val="ctr"/>
              <c:showLegendKey val="0"/>
              <c:showVal val="1"/>
              <c:showCatName val="1"/>
              <c:showSerName val="0"/>
              <c:showPercent val="0"/>
              <c:showBubbleSize val="0"/>
              <c:extLst>
                <c:ext xmlns:c15="http://schemas.microsoft.com/office/drawing/2012/chart" uri="{CE6537A1-D6FC-4f65-9D91-7224C49458BB}">
                  <c15:layout>
                    <c:manualLayout>
                      <c:w val="0.39922166693301175"/>
                      <c:h val="0.1342802947794276"/>
                    </c:manualLayout>
                  </c15:layout>
                </c:ext>
                <c:ext xmlns:c16="http://schemas.microsoft.com/office/drawing/2014/chart" uri="{C3380CC4-5D6E-409C-BE32-E72D297353CC}">
                  <c16:uniqueId val="{0000000A-4811-4EC4-84E5-961D46122767}"/>
                </c:ext>
              </c:extLst>
            </c:dLbl>
            <c:dLbl>
              <c:idx val="3"/>
              <c:dLblPos val="ctr"/>
              <c:showLegendKey val="0"/>
              <c:showVal val="1"/>
              <c:showCatName val="1"/>
              <c:showSerName val="0"/>
              <c:showPercent val="0"/>
              <c:showBubbleSize val="0"/>
              <c:extLst>
                <c:ext xmlns:c15="http://schemas.microsoft.com/office/drawing/2012/chart" uri="{CE6537A1-D6FC-4f65-9D91-7224C49458BB}">
                  <c15:layout>
                    <c:manualLayout>
                      <c:w val="0.42088664775616352"/>
                      <c:h val="0.19394381105670111"/>
                    </c:manualLayout>
                  </c15:layout>
                </c:ext>
                <c:ext xmlns:c16="http://schemas.microsoft.com/office/drawing/2014/chart" uri="{C3380CC4-5D6E-409C-BE32-E72D297353CC}">
                  <c16:uniqueId val="{0000000B-4811-4EC4-84E5-961D46122767}"/>
                </c:ext>
              </c:extLst>
            </c:dLbl>
            <c:dLbl>
              <c:idx val="4"/>
              <c:dLblPos val="ctr"/>
              <c:showLegendKey val="0"/>
              <c:showVal val="1"/>
              <c:showCatName val="1"/>
              <c:showSerName val="0"/>
              <c:showPercent val="0"/>
              <c:showBubbleSize val="0"/>
              <c:extLst>
                <c:ext xmlns:c15="http://schemas.microsoft.com/office/drawing/2012/chart" uri="{CE6537A1-D6FC-4f65-9D91-7224C49458BB}">
                  <c15:layout>
                    <c:manualLayout>
                      <c:w val="0.37747042661223545"/>
                      <c:h val="0.1342802947794276"/>
                    </c:manualLayout>
                  </c15:layout>
                </c:ext>
                <c:ext xmlns:c16="http://schemas.microsoft.com/office/drawing/2014/chart" uri="{C3380CC4-5D6E-409C-BE32-E72D297353CC}">
                  <c16:uniqueId val="{0000000C-4811-4EC4-84E5-961D46122767}"/>
                </c:ext>
              </c:extLst>
            </c:dLbl>
            <c:dLbl>
              <c:idx val="5"/>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1"/>
              <c:showSerName val="0"/>
              <c:showPercent val="0"/>
              <c:showBubbleSize val="0"/>
              <c:extLst>
                <c:ext xmlns:c15="http://schemas.microsoft.com/office/drawing/2012/chart" uri="{CE6537A1-D6FC-4f65-9D91-7224C49458BB}">
                  <c15:layout>
                    <c:manualLayout>
                      <c:w val="0.24887930752691295"/>
                      <c:h val="7.4691741050315563E-2"/>
                    </c:manualLayout>
                  </c15:layout>
                </c:ext>
                <c:ext xmlns:c16="http://schemas.microsoft.com/office/drawing/2014/chart" uri="{C3380CC4-5D6E-409C-BE32-E72D297353CC}">
                  <c16:uniqueId val="{0000000D-4811-4EC4-84E5-961D4612276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 tables'!$D$27:$D$34</c15:sqref>
                  </c15:fullRef>
                </c:ext>
              </c:extLst>
              <c:f>'Pivot tables'!$D$27:$D$33</c:f>
              <c:strCache>
                <c:ptCount val="7"/>
                <c:pt idx="0">
                  <c:v>Human Resources</c:v>
                </c:pt>
                <c:pt idx="1">
                  <c:v>Marketing</c:v>
                </c:pt>
                <c:pt idx="2">
                  <c:v>Leadership</c:v>
                </c:pt>
                <c:pt idx="3">
                  <c:v>Operations and production</c:v>
                </c:pt>
                <c:pt idx="4">
                  <c:v>Customer Support</c:v>
                </c:pt>
                <c:pt idx="5">
                  <c:v>Sales</c:v>
                </c:pt>
                <c:pt idx="6">
                  <c:v>Finance</c:v>
                </c:pt>
              </c:strCache>
            </c:strRef>
          </c:cat>
          <c:val>
            <c:numRef>
              <c:extLst>
                <c:ext xmlns:c15="http://schemas.microsoft.com/office/drawing/2012/chart" uri="{02D57815-91ED-43cb-92C2-25804820EDAC}">
                  <c15:fullRef>
                    <c15:sqref>'Pivot tables'!$E$27:$E$34</c15:sqref>
                  </c15:fullRef>
                </c:ext>
              </c:extLst>
              <c:f>'Pivot tables'!$E$27:$E$33</c:f>
              <c:numCache>
                <c:formatCode>"$"0,\k</c:formatCode>
                <c:ptCount val="7"/>
                <c:pt idx="0">
                  <c:v>64948.841379310339</c:v>
                </c:pt>
                <c:pt idx="1">
                  <c:v>68745.501136363629</c:v>
                </c:pt>
                <c:pt idx="2">
                  <c:v>74719.622499999998</c:v>
                </c:pt>
                <c:pt idx="3">
                  <c:v>75952.035467980284</c:v>
                </c:pt>
                <c:pt idx="4">
                  <c:v>80851.55179372197</c:v>
                </c:pt>
                <c:pt idx="5">
                  <c:v>82041.083705357145</c:v>
                </c:pt>
                <c:pt idx="6">
                  <c:v>83540.802083333328</c:v>
                </c:pt>
              </c:numCache>
            </c:numRef>
          </c:val>
          <c:extLst>
            <c:ext xmlns:c16="http://schemas.microsoft.com/office/drawing/2014/chart" uri="{C3380CC4-5D6E-409C-BE32-E72D297353CC}">
              <c16:uniqueId val="{00000000-4811-4EC4-84E5-961D46122767}"/>
            </c:ext>
          </c:extLst>
        </c:ser>
        <c:dLbls>
          <c:dLblPos val="ctr"/>
          <c:showLegendKey val="0"/>
          <c:showVal val="1"/>
          <c:showCatName val="0"/>
          <c:showSerName val="0"/>
          <c:showPercent val="0"/>
          <c:showBubbleSize val="0"/>
        </c:dLbls>
        <c:gapWidth val="30"/>
        <c:axId val="333898031"/>
        <c:axId val="333886991"/>
      </c:barChart>
      <c:catAx>
        <c:axId val="333898031"/>
        <c:scaling>
          <c:orientation val="maxMin"/>
        </c:scaling>
        <c:delete val="1"/>
        <c:axPos val="l"/>
        <c:numFmt formatCode="General" sourceLinked="1"/>
        <c:majorTickMark val="none"/>
        <c:minorTickMark val="none"/>
        <c:tickLblPos val="nextTo"/>
        <c:crossAx val="333886991"/>
        <c:crosses val="autoZero"/>
        <c:auto val="1"/>
        <c:lblAlgn val="ctr"/>
        <c:lblOffset val="100"/>
        <c:noMultiLvlLbl val="0"/>
      </c:catAx>
      <c:valAx>
        <c:axId val="333886991"/>
        <c:scaling>
          <c:orientation val="minMax"/>
        </c:scaling>
        <c:delete val="1"/>
        <c:axPos val="t"/>
        <c:numFmt formatCode="&quot;$&quot;0,\k" sourceLinked="1"/>
        <c:majorTickMark val="none"/>
        <c:minorTickMark val="none"/>
        <c:tickLblPos val="nextTo"/>
        <c:crossAx val="333898031"/>
        <c:crosses val="autoZero"/>
        <c:crossBetween val="between"/>
      </c:valAx>
      <c:spPr>
        <a:noFill/>
        <a:ln>
          <a:noFill/>
        </a:ln>
        <a:effectLst/>
      </c:spPr>
    </c:plotArea>
    <c:plotVisOnly val="1"/>
    <c:dispBlanksAs val="gap"/>
    <c:showDLblsOverMax val="0"/>
  </c:chart>
  <c:spPr>
    <a:solidFill>
      <a:srgbClr val="035A52"/>
    </a:solidFill>
    <a:ln w="9525" cap="flat" cmpd="sng" algn="ctr">
      <a:no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71293954781619"/>
          <c:y val="3.6601322258791522E-2"/>
          <c:w val="0.72736678839153879"/>
          <c:h val="0.91633983483704795"/>
        </c:manualLayout>
      </c:layout>
      <c:doughnutChart>
        <c:varyColors val="1"/>
        <c:ser>
          <c:idx val="0"/>
          <c:order val="0"/>
          <c:tx>
            <c:strRef>
              <c:f>'Pivot tables'!$E$18</c:f>
              <c:strCache>
                <c:ptCount val="1"/>
                <c:pt idx="0">
                  <c:v>Sum of Salary</c:v>
                </c:pt>
              </c:strCache>
            </c:strRef>
          </c:tx>
          <c:spPr>
            <a:effectLst>
              <a:outerShdw blurRad="50800" dist="38100" dir="2700000" algn="tl" rotWithShape="0">
                <a:prstClr val="black">
                  <a:alpha val="40000"/>
                </a:prstClr>
              </a:outerShdw>
            </a:effectLst>
          </c:spPr>
          <c:dPt>
            <c:idx val="0"/>
            <c:bubble3D val="0"/>
            <c:spPr>
              <a:solidFill>
                <a:schemeClr val="accent6">
                  <a:lumMod val="20000"/>
                  <a:lumOff val="8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1FC0-46B8-934C-9B5BA72821F0}"/>
              </c:ext>
            </c:extLst>
          </c:dPt>
          <c:dPt>
            <c:idx val="1"/>
            <c:bubble3D val="0"/>
            <c:spPr>
              <a:solidFill>
                <a:schemeClr val="accent6">
                  <a:lumMod val="40000"/>
                  <a:lumOff val="6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1FC0-46B8-934C-9B5BA72821F0}"/>
              </c:ext>
            </c:extLst>
          </c:dPt>
          <c:dPt>
            <c:idx val="2"/>
            <c:bubble3D val="0"/>
            <c:spPr>
              <a:solidFill>
                <a:schemeClr val="accent6">
                  <a:lumMod val="60000"/>
                  <a:lumOff val="4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1FC0-46B8-934C-9B5BA72821F0}"/>
              </c:ext>
            </c:extLst>
          </c:dPt>
          <c:dPt>
            <c:idx val="3"/>
            <c:bubble3D val="0"/>
            <c:spPr>
              <a:solidFill>
                <a:srgbClr val="BDF806"/>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1FC0-46B8-934C-9B5BA72821F0}"/>
              </c:ext>
            </c:extLst>
          </c:dPt>
          <c:dPt>
            <c:idx val="4"/>
            <c:bubble3D val="0"/>
            <c:spPr>
              <a:solidFill>
                <a:schemeClr val="accent6">
                  <a:lumMod val="75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1FC0-46B8-934C-9B5BA72821F0}"/>
              </c:ext>
            </c:extLst>
          </c:dPt>
          <c:dLbls>
            <c:dLbl>
              <c:idx val="1"/>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97644633527958"/>
                      <c:h val="0.28019141570949435"/>
                    </c:manualLayout>
                  </c15:layout>
                </c:ext>
                <c:ext xmlns:c16="http://schemas.microsoft.com/office/drawing/2014/chart" uri="{C3380CC4-5D6E-409C-BE32-E72D297353CC}">
                  <c16:uniqueId val="{00000003-1FC0-46B8-934C-9B5BA72821F0}"/>
                </c:ext>
              </c:extLst>
            </c:dLbl>
            <c:dLbl>
              <c:idx val="3"/>
              <c:layout>
                <c:manualLayout>
                  <c:x val="-4.1504542950012002E-3"/>
                  <c:y val="-1.7862840710077054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4722197348546002"/>
                      <c:h val="0.23425839674072479"/>
                    </c:manualLayout>
                  </c15:layout>
                </c:ext>
                <c:ext xmlns:c16="http://schemas.microsoft.com/office/drawing/2014/chart" uri="{C3380CC4-5D6E-409C-BE32-E72D297353CC}">
                  <c16:uniqueId val="{00000007-1FC0-46B8-934C-9B5BA72821F0}"/>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tables'!$D$19:$D$23</c:f>
              <c:strCache>
                <c:ptCount val="5"/>
                <c:pt idx="0">
                  <c:v>Midwest</c:v>
                </c:pt>
                <c:pt idx="1">
                  <c:v>Northeast</c:v>
                </c:pt>
                <c:pt idx="2">
                  <c:v>Southeast</c:v>
                </c:pt>
                <c:pt idx="3">
                  <c:v>Southwest</c:v>
                </c:pt>
                <c:pt idx="4">
                  <c:v>West</c:v>
                </c:pt>
              </c:strCache>
            </c:strRef>
          </c:cat>
          <c:val>
            <c:numRef>
              <c:f>'Pivot tables'!$E$19:$E$23</c:f>
              <c:numCache>
                <c:formatCode>"$"0,\k</c:formatCode>
                <c:ptCount val="5"/>
                <c:pt idx="0">
                  <c:v>12463413.799999999</c:v>
                </c:pt>
                <c:pt idx="1">
                  <c:v>14067140.25</c:v>
                </c:pt>
                <c:pt idx="2">
                  <c:v>11099567.5</c:v>
                </c:pt>
                <c:pt idx="3">
                  <c:v>11667711.399999999</c:v>
                </c:pt>
                <c:pt idx="4">
                  <c:v>15965000.499999998</c:v>
                </c:pt>
              </c:numCache>
            </c:numRef>
          </c:val>
          <c:extLst>
            <c:ext xmlns:c16="http://schemas.microsoft.com/office/drawing/2014/chart" uri="{C3380CC4-5D6E-409C-BE32-E72D297353CC}">
              <c16:uniqueId val="{0000000A-1FC0-46B8-934C-9B5BA72821F0}"/>
            </c:ext>
          </c:extLst>
        </c:ser>
        <c:dLbls>
          <c:showLegendKey val="0"/>
          <c:showVal val="1"/>
          <c:showCatName val="0"/>
          <c:showSerName val="0"/>
          <c:showPercent val="0"/>
          <c:showBubbleSize val="0"/>
          <c:showLeaderLines val="1"/>
        </c:dLbls>
        <c:firstSliceAng val="0"/>
        <c:holeSize val="58"/>
      </c:doughnutChart>
      <c:spPr>
        <a:noFill/>
        <a:ln>
          <a:noFill/>
        </a:ln>
        <a:effectLst>
          <a:outerShdw blurRad="50800" dist="38100" dir="5400000" algn="t" rotWithShape="0">
            <a:prstClr val="black">
              <a:alpha val="40000"/>
            </a:prst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35A52"/>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265417336255956E-2"/>
          <c:y val="6.933333333333333E-2"/>
          <c:w val="0.90967009749647221"/>
          <c:h val="0.81803590551181105"/>
        </c:manualLayout>
      </c:layout>
      <c:barChart>
        <c:barDir val="col"/>
        <c:grouping val="clustered"/>
        <c:varyColors val="0"/>
        <c:ser>
          <c:idx val="1"/>
          <c:order val="1"/>
          <c:tx>
            <c:strRef>
              <c:f>'Pivot tables'!$G$36</c:f>
              <c:strCache>
                <c:ptCount val="1"/>
                <c:pt idx="0">
                  <c:v>Headcount </c:v>
                </c:pt>
              </c:strCache>
            </c:strRef>
          </c:tx>
          <c:spPr>
            <a:solidFill>
              <a:schemeClr val="accent2"/>
            </a:solidFill>
            <a:ln>
              <a:noFill/>
            </a:ln>
            <a:effectLst/>
          </c:spPr>
          <c:invertIfNegative val="0"/>
          <c:dPt>
            <c:idx val="0"/>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6-34E9-417B-BEB8-1F01D30FDDA6}"/>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8-34E9-417B-BEB8-1F01D30FDDA6}"/>
              </c:ext>
            </c:extLst>
          </c:dPt>
          <c:dPt>
            <c:idx val="2"/>
            <c:invertIfNegative val="0"/>
            <c:bubble3D val="0"/>
            <c:spPr>
              <a:solidFill>
                <a:schemeClr val="accent6">
                  <a:lumMod val="50000"/>
                </a:schemeClr>
              </a:solidFill>
              <a:ln>
                <a:noFill/>
              </a:ln>
              <a:effectLst/>
            </c:spPr>
            <c:extLst>
              <c:ext xmlns:c16="http://schemas.microsoft.com/office/drawing/2014/chart" uri="{C3380CC4-5D6E-409C-BE32-E72D297353CC}">
                <c16:uniqueId val="{00000009-34E9-417B-BEB8-1F01D30FDDA6}"/>
              </c:ext>
            </c:extLst>
          </c:dPt>
          <c:dPt>
            <c:idx val="3"/>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7-34E9-417B-BEB8-1F01D30FDDA6}"/>
              </c:ext>
            </c:extLst>
          </c:dPt>
          <c:dPt>
            <c:idx val="4"/>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5-34E9-417B-BEB8-1F01D30FDDA6}"/>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tables'!$E$37:$E$41</c:f>
              <c:strCache>
                <c:ptCount val="5"/>
                <c:pt idx="0">
                  <c:v>T1</c:v>
                </c:pt>
                <c:pt idx="1">
                  <c:v>T2</c:v>
                </c:pt>
                <c:pt idx="2">
                  <c:v>T3</c:v>
                </c:pt>
                <c:pt idx="3">
                  <c:v>T4</c:v>
                </c:pt>
                <c:pt idx="4">
                  <c:v>T5</c:v>
                </c:pt>
              </c:strCache>
            </c:strRef>
          </c:cat>
          <c:val>
            <c:numRef>
              <c:f>'Pivot tables'!$G$37:$G$41</c:f>
              <c:numCache>
                <c:formatCode>0</c:formatCode>
                <c:ptCount val="5"/>
                <c:pt idx="0">
                  <c:v>147</c:v>
                </c:pt>
                <c:pt idx="1">
                  <c:v>235</c:v>
                </c:pt>
                <c:pt idx="2">
                  <c:v>263</c:v>
                </c:pt>
                <c:pt idx="3">
                  <c:v>125</c:v>
                </c:pt>
                <c:pt idx="4">
                  <c:v>65</c:v>
                </c:pt>
              </c:numCache>
            </c:numRef>
          </c:val>
          <c:extLst>
            <c:ext xmlns:c16="http://schemas.microsoft.com/office/drawing/2014/chart" uri="{C3380CC4-5D6E-409C-BE32-E72D297353CC}">
              <c16:uniqueId val="{00000001-34E9-417B-BEB8-1F01D30FDDA6}"/>
            </c:ext>
          </c:extLst>
        </c:ser>
        <c:dLbls>
          <c:dLblPos val="ctr"/>
          <c:showLegendKey val="0"/>
          <c:showVal val="1"/>
          <c:showCatName val="0"/>
          <c:showSerName val="0"/>
          <c:showPercent val="0"/>
          <c:showBubbleSize val="0"/>
        </c:dLbls>
        <c:gapWidth val="30"/>
        <c:overlap val="100"/>
        <c:axId val="242973967"/>
        <c:axId val="242985007"/>
      </c:barChart>
      <c:lineChart>
        <c:grouping val="stacked"/>
        <c:varyColors val="0"/>
        <c:ser>
          <c:idx val="0"/>
          <c:order val="0"/>
          <c:tx>
            <c:strRef>
              <c:f>'Pivot tables'!$F$36</c:f>
              <c:strCache>
                <c:ptCount val="1"/>
                <c:pt idx="0">
                  <c:v>Average of Salary</c:v>
                </c:pt>
              </c:strCache>
            </c:strRef>
          </c:tx>
          <c:spPr>
            <a:ln w="28575" cap="rnd">
              <a:solidFill>
                <a:srgbClr val="BDF806">
                  <a:alpha val="97000"/>
                </a:srgbClr>
              </a:solidFill>
              <a:round/>
            </a:ln>
            <a:effectLst/>
          </c:spPr>
          <c:marker>
            <c:symbol val="square"/>
            <c:size val="6"/>
            <c:spPr>
              <a:solidFill>
                <a:schemeClr val="accent1"/>
              </a:solidFill>
              <a:ln w="9525">
                <a:solidFill>
                  <a:srgbClr val="00206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tables'!$E$37:$E$41</c:f>
              <c:strCache>
                <c:ptCount val="5"/>
                <c:pt idx="0">
                  <c:v>T1</c:v>
                </c:pt>
                <c:pt idx="1">
                  <c:v>T2</c:v>
                </c:pt>
                <c:pt idx="2">
                  <c:v>T3</c:v>
                </c:pt>
                <c:pt idx="3">
                  <c:v>T4</c:v>
                </c:pt>
                <c:pt idx="4">
                  <c:v>T5</c:v>
                </c:pt>
              </c:strCache>
            </c:strRef>
          </c:cat>
          <c:val>
            <c:numRef>
              <c:f>'Pivot tables'!$F$37:$F$41</c:f>
              <c:numCache>
                <c:formatCode>"$"0,\k</c:formatCode>
                <c:ptCount val="5"/>
                <c:pt idx="0">
                  <c:v>47911.78231292517</c:v>
                </c:pt>
                <c:pt idx="1">
                  <c:v>80784.322340425526</c:v>
                </c:pt>
                <c:pt idx="2">
                  <c:v>87429.026425855525</c:v>
                </c:pt>
                <c:pt idx="3">
                  <c:v>82522.401599999983</c:v>
                </c:pt>
                <c:pt idx="4">
                  <c:v>91174.639230769229</c:v>
                </c:pt>
              </c:numCache>
            </c:numRef>
          </c:val>
          <c:smooth val="1"/>
          <c:extLst>
            <c:ext xmlns:c16="http://schemas.microsoft.com/office/drawing/2014/chart" uri="{C3380CC4-5D6E-409C-BE32-E72D297353CC}">
              <c16:uniqueId val="{00000000-34E9-417B-BEB8-1F01D30FDDA6}"/>
            </c:ext>
          </c:extLst>
        </c:ser>
        <c:dLbls>
          <c:dLblPos val="ctr"/>
          <c:showLegendKey val="0"/>
          <c:showVal val="1"/>
          <c:showCatName val="0"/>
          <c:showSerName val="0"/>
          <c:showPercent val="0"/>
          <c:showBubbleSize val="0"/>
        </c:dLbls>
        <c:marker val="1"/>
        <c:smooth val="0"/>
        <c:axId val="384084655"/>
        <c:axId val="384091855"/>
      </c:lineChart>
      <c:catAx>
        <c:axId val="2429739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crossAx val="242985007"/>
        <c:crosses val="autoZero"/>
        <c:auto val="1"/>
        <c:lblAlgn val="ctr"/>
        <c:lblOffset val="100"/>
        <c:noMultiLvlLbl val="0"/>
      </c:catAx>
      <c:valAx>
        <c:axId val="242985007"/>
        <c:scaling>
          <c:orientation val="minMax"/>
        </c:scaling>
        <c:delete val="0"/>
        <c:axPos val="l"/>
        <c:numFmt formatCode="0" sourceLinked="1"/>
        <c:majorTickMark val="none"/>
        <c:minorTickMark val="none"/>
        <c:tickLblPos val="none"/>
        <c:spPr>
          <a:noFill/>
          <a:ln>
            <a:solidFill>
              <a:srgbClr val="002060"/>
            </a:solidFill>
          </a:ln>
          <a:effectLst/>
        </c:spPr>
        <c:txPr>
          <a:bodyPr rot="-60000000" spcFirstLastPara="1" vertOverflow="ellipsis" vert="horz" wrap="square" anchor="ctr" anchorCtr="1"/>
          <a:lstStyle/>
          <a:p>
            <a:pPr>
              <a:defRPr sz="10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crossAx val="242973967"/>
        <c:crosses val="autoZero"/>
        <c:crossBetween val="between"/>
      </c:valAx>
      <c:valAx>
        <c:axId val="384091855"/>
        <c:scaling>
          <c:orientation val="minMax"/>
        </c:scaling>
        <c:delete val="0"/>
        <c:axPos val="r"/>
        <c:numFmt formatCode="&quot;$&quot;0,\k" sourceLinked="1"/>
        <c:majorTickMark val="out"/>
        <c:minorTickMark val="none"/>
        <c:tickLblPos val="none"/>
        <c:spPr>
          <a:noFill/>
          <a:ln>
            <a:noFill/>
          </a:ln>
          <a:effectLst/>
        </c:spPr>
        <c:txPr>
          <a:bodyPr rot="-60000000" spcFirstLastPara="1" vertOverflow="ellipsis" vert="horz" wrap="square" anchor="ctr" anchorCtr="1"/>
          <a:lstStyle/>
          <a:p>
            <a:pPr>
              <a:defRPr sz="10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crossAx val="384084655"/>
        <c:crosses val="max"/>
        <c:crossBetween val="between"/>
      </c:valAx>
      <c:catAx>
        <c:axId val="384084655"/>
        <c:scaling>
          <c:orientation val="minMax"/>
        </c:scaling>
        <c:delete val="1"/>
        <c:axPos val="t"/>
        <c:numFmt formatCode="General" sourceLinked="1"/>
        <c:majorTickMark val="out"/>
        <c:minorTickMark val="none"/>
        <c:tickLblPos val="nextTo"/>
        <c:crossAx val="384091855"/>
        <c:crosses val="max"/>
        <c:auto val="1"/>
        <c:lblAlgn val="ctr"/>
        <c:lblOffset val="100"/>
        <c:noMultiLvlLbl val="0"/>
      </c:catAx>
      <c:spPr>
        <a:solidFill>
          <a:srgbClr val="035A52"/>
        </a:solidFill>
        <a:ln>
          <a:noFill/>
        </a:ln>
        <a:effectLst/>
      </c:spPr>
    </c:plotArea>
    <c:plotVisOnly val="1"/>
    <c:dispBlanksAs val="gap"/>
    <c:showDLblsOverMax val="0"/>
  </c:chart>
  <c:spPr>
    <a:solidFill>
      <a:srgbClr val="035A52"/>
    </a:solidFill>
    <a:ln w="9525" cap="flat" cmpd="sng" algn="ctr">
      <a:noFill/>
      <a:round/>
    </a:ln>
    <a:effectLst>
      <a:outerShdw blurRad="50800" dist="38100" dir="8100000" algn="tr" rotWithShape="0">
        <a:prstClr val="black">
          <a:alpha val="40000"/>
        </a:prstClr>
      </a:outerShdw>
    </a:effectLst>
  </c:spPr>
  <c:txPr>
    <a:bodyPr/>
    <a:lstStyle/>
    <a:p>
      <a:pPr>
        <a:defRPr sz="1000">
          <a:solidFill>
            <a:schemeClr val="tx1"/>
          </a:solidFill>
          <a:latin typeface="Segoe UI Semibold" panose="020B0702040204020203" pitchFamily="34" charset="0"/>
          <a:cs typeface="Segoe UI Semibold" panose="020B0702040204020203"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108"/>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8116132553326686E-2"/>
          <c:y val="0"/>
          <c:w val="0.87219988035648721"/>
          <c:h val="1"/>
        </c:manualLayout>
      </c:layout>
      <c:pie3DChart>
        <c:varyColors val="1"/>
        <c:ser>
          <c:idx val="0"/>
          <c:order val="0"/>
          <c:tx>
            <c:strRef>
              <c:f>'Pivot tables'!$E$105</c:f>
              <c:strCache>
                <c:ptCount val="1"/>
                <c:pt idx="0">
                  <c:v>Average of Salary</c:v>
                </c:pt>
              </c:strCache>
            </c:strRef>
          </c:tx>
          <c:spPr>
            <a:ln>
              <a:noFill/>
            </a:ln>
          </c:spPr>
          <c:dPt>
            <c:idx val="0"/>
            <c:bubble3D val="0"/>
            <c:spPr>
              <a:solidFill>
                <a:schemeClr val="accent6">
                  <a:lumMod val="60000"/>
                  <a:lumOff val="40000"/>
                </a:scheme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337-4C81-A9A7-20B27E641DF8}"/>
              </c:ext>
            </c:extLst>
          </c:dPt>
          <c:dPt>
            <c:idx val="1"/>
            <c:bubble3D val="0"/>
            <c:spPr>
              <a:solidFill>
                <a:schemeClr val="accent6">
                  <a:lumMod val="75000"/>
                </a:scheme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337-4C81-A9A7-20B27E641DF8}"/>
              </c:ext>
            </c:extLst>
          </c:dPt>
          <c:dLbls>
            <c:dLbl>
              <c:idx val="0"/>
              <c:layout>
                <c:manualLayout>
                  <c:x val="8.0670070066481164E-2"/>
                  <c:y val="-0.316230134479217"/>
                </c:manualLayout>
              </c:layout>
              <c:dLblPos val="bestFit"/>
              <c:showLegendKey val="0"/>
              <c:showVal val="1"/>
              <c:showCatName val="1"/>
              <c:showSerName val="0"/>
              <c:showPercent val="0"/>
              <c:showBubbleSize val="0"/>
              <c:extLst>
                <c:ext xmlns:c15="http://schemas.microsoft.com/office/drawing/2012/chart" uri="{CE6537A1-D6FC-4f65-9D91-7224C49458BB}">
                  <c15:layout>
                    <c:manualLayout>
                      <c:w val="0.22265080095422674"/>
                      <c:h val="0.17737146404128767"/>
                    </c:manualLayout>
                  </c15:layout>
                </c:ext>
                <c:ext xmlns:c16="http://schemas.microsoft.com/office/drawing/2014/chart" uri="{C3380CC4-5D6E-409C-BE32-E72D297353CC}">
                  <c16:uniqueId val="{00000001-D337-4C81-A9A7-20B27E641DF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tables'!$D$106:$D$107</c:f>
              <c:strCache>
                <c:ptCount val="2"/>
                <c:pt idx="0">
                  <c:v>Female</c:v>
                </c:pt>
                <c:pt idx="1">
                  <c:v>Male</c:v>
                </c:pt>
              </c:strCache>
            </c:strRef>
          </c:cat>
          <c:val>
            <c:numRef>
              <c:f>'Pivot tables'!$E$106:$E$107</c:f>
              <c:numCache>
                <c:formatCode>"$"0,\k</c:formatCode>
                <c:ptCount val="2"/>
                <c:pt idx="0">
                  <c:v>69401.372799999997</c:v>
                </c:pt>
                <c:pt idx="1">
                  <c:v>85298.518804347856</c:v>
                </c:pt>
              </c:numCache>
            </c:numRef>
          </c:val>
          <c:extLst>
            <c:ext xmlns:c16="http://schemas.microsoft.com/office/drawing/2014/chart" uri="{C3380CC4-5D6E-409C-BE32-E72D297353CC}">
              <c16:uniqueId val="{00000004-D337-4C81-A9A7-20B27E641DF8}"/>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solidFill>
      <a:srgbClr val="035A52"/>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'Pivot tables'!$H$78</c:f>
              <c:strCache>
                <c:ptCount val="1"/>
                <c:pt idx="0">
                  <c:v>average</c:v>
                </c:pt>
              </c:strCache>
            </c:strRef>
          </c:tx>
          <c:spPr>
            <a:solidFill>
              <a:srgbClr val="D8E267"/>
            </a:solidFill>
            <a:ln>
              <a:noFill/>
            </a:ln>
            <a:effectLst/>
          </c:spPr>
          <c:invertIfNegative val="0"/>
          <c:dLbls>
            <c:dLbl>
              <c:idx val="0"/>
              <c:spPr>
                <a:solidFill>
                  <a:srgbClr val="D8E267"/>
                </a:solid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1"/>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6610902058295344"/>
                      <c:h val="7.9281065418177102E-2"/>
                    </c:manualLayout>
                  </c15:layout>
                </c:ext>
                <c:ext xmlns:c16="http://schemas.microsoft.com/office/drawing/2014/chart" uri="{C3380CC4-5D6E-409C-BE32-E72D297353CC}">
                  <c16:uniqueId val="{0000000D-F3DD-4E3B-AB18-38A03FE17B03}"/>
                </c:ext>
              </c:extLst>
            </c:dLbl>
            <c:dLbl>
              <c:idx val="1"/>
              <c:spPr>
                <a:solidFill>
                  <a:srgbClr val="D8E267"/>
                </a:solid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1"/>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1984583506009115"/>
                      <c:h val="7.4813441245695056E-2"/>
                    </c:manualLayout>
                  </c15:layout>
                </c:ext>
                <c:ext xmlns:c16="http://schemas.microsoft.com/office/drawing/2014/chart" uri="{C3380CC4-5D6E-409C-BE32-E72D297353CC}">
                  <c16:uniqueId val="{0000000C-F3DD-4E3B-AB18-38A03FE17B03}"/>
                </c:ext>
              </c:extLst>
            </c:dLbl>
            <c:dLbl>
              <c:idx val="2"/>
              <c:spPr>
                <a:solidFill>
                  <a:srgbClr val="D8E267"/>
                </a:solid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1"/>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096853156513331"/>
                      <c:h val="7.9281065418177102E-2"/>
                    </c:manualLayout>
                  </c15:layout>
                </c:ext>
                <c:ext xmlns:c16="http://schemas.microsoft.com/office/drawing/2014/chart" uri="{C3380CC4-5D6E-409C-BE32-E72D297353CC}">
                  <c16:uniqueId val="{0000000B-F3DD-4E3B-AB18-38A03FE17B03}"/>
                </c:ext>
              </c:extLst>
            </c:dLbl>
            <c:dLbl>
              <c:idx val="3"/>
              <c:spPr>
                <a:solidFill>
                  <a:srgbClr val="D8E267"/>
                </a:solid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1"/>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2168421052631579"/>
                      <c:h val="7.9281065418177102E-2"/>
                    </c:manualLayout>
                  </c15:layout>
                </c:ext>
                <c:ext xmlns:c16="http://schemas.microsoft.com/office/drawing/2014/chart" uri="{C3380CC4-5D6E-409C-BE32-E72D297353CC}">
                  <c16:uniqueId val="{0000000A-F3DD-4E3B-AB18-38A03FE17B03}"/>
                </c:ext>
              </c:extLst>
            </c:dLbl>
            <c:dLbl>
              <c:idx val="4"/>
              <c:layout>
                <c:manualLayout>
                  <c:x val="-2.8069070313579223E-3"/>
                  <c:y val="0"/>
                </c:manualLayout>
              </c:layout>
              <c:spPr>
                <a:solidFill>
                  <a:srgbClr val="D8E267"/>
                </a:solid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1"/>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9205260395082187"/>
                      <c:h val="8.4599372082280411E-2"/>
                    </c:manualLayout>
                  </c15:layout>
                </c:ext>
                <c:ext xmlns:c16="http://schemas.microsoft.com/office/drawing/2014/chart" uri="{C3380CC4-5D6E-409C-BE32-E72D297353CC}">
                  <c16:uniqueId val="{00000009-F3DD-4E3B-AB18-38A03FE17B03}"/>
                </c:ext>
              </c:extLst>
            </c:dLbl>
            <c:dLbl>
              <c:idx val="5"/>
              <c:spPr>
                <a:solidFill>
                  <a:srgbClr val="D8E267"/>
                </a:solid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1"/>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3085940046967816"/>
                      <c:h val="8.9492337500573088E-2"/>
                    </c:manualLayout>
                  </c15:layout>
                </c:ext>
                <c:ext xmlns:c16="http://schemas.microsoft.com/office/drawing/2014/chart" uri="{C3380CC4-5D6E-409C-BE32-E72D297353CC}">
                  <c16:uniqueId val="{00000008-F3DD-4E3B-AB18-38A03FE17B03}"/>
                </c:ext>
              </c:extLst>
            </c:dLbl>
            <c:dLbl>
              <c:idx val="6"/>
              <c:spPr>
                <a:solidFill>
                  <a:srgbClr val="D8E267"/>
                </a:solid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1"/>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8113805774278217"/>
                      <c:h val="4.949831693547796E-2"/>
                    </c:manualLayout>
                  </c15:layout>
                </c:ext>
                <c:ext xmlns:c16="http://schemas.microsoft.com/office/drawing/2014/chart" uri="{C3380CC4-5D6E-409C-BE32-E72D297353CC}">
                  <c16:uniqueId val="{00000007-F3DD-4E3B-AB18-38A03FE17B03}"/>
                </c:ext>
              </c:extLst>
            </c:dLbl>
            <c:spPr>
              <a:solidFill>
                <a:srgbClr val="D8E267"/>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tables'!$G$79:$G$85</c:f>
              <c:strCache>
                <c:ptCount val="7"/>
                <c:pt idx="0">
                  <c:v>Leadership</c:v>
                </c:pt>
                <c:pt idx="1">
                  <c:v>Human Resources</c:v>
                </c:pt>
                <c:pt idx="2">
                  <c:v>Finance</c:v>
                </c:pt>
                <c:pt idx="3">
                  <c:v>Marketing</c:v>
                </c:pt>
                <c:pt idx="4">
                  <c:v>Operations and production</c:v>
                </c:pt>
                <c:pt idx="5">
                  <c:v>Customer Support</c:v>
                </c:pt>
                <c:pt idx="6">
                  <c:v>Sales</c:v>
                </c:pt>
              </c:strCache>
            </c:strRef>
          </c:cat>
          <c:val>
            <c:numRef>
              <c:f>'Pivot tables'!$H$79:$H$85</c:f>
              <c:numCache>
                <c:formatCode>General</c:formatCode>
                <c:ptCount val="7"/>
                <c:pt idx="0">
                  <c:v>8</c:v>
                </c:pt>
                <c:pt idx="1">
                  <c:v>19</c:v>
                </c:pt>
                <c:pt idx="2">
                  <c:v>18</c:v>
                </c:pt>
                <c:pt idx="3">
                  <c:v>38</c:v>
                </c:pt>
                <c:pt idx="4">
                  <c:v>93</c:v>
                </c:pt>
                <c:pt idx="5">
                  <c:v>99</c:v>
                </c:pt>
                <c:pt idx="6">
                  <c:v>101</c:v>
                </c:pt>
              </c:numCache>
            </c:numRef>
          </c:val>
          <c:extLst>
            <c:ext xmlns:c16="http://schemas.microsoft.com/office/drawing/2014/chart" uri="{C3380CC4-5D6E-409C-BE32-E72D297353CC}">
              <c16:uniqueId val="{00000000-F3DD-4E3B-AB18-38A03FE17B03}"/>
            </c:ext>
          </c:extLst>
        </c:ser>
        <c:ser>
          <c:idx val="1"/>
          <c:order val="1"/>
          <c:tx>
            <c:strRef>
              <c:f>'Pivot tables'!$I$78</c:f>
              <c:strCache>
                <c:ptCount val="1"/>
                <c:pt idx="0">
                  <c:v>bottom</c:v>
                </c:pt>
              </c:strCache>
            </c:strRef>
          </c:tx>
          <c:spPr>
            <a:solidFill>
              <a:schemeClr val="accent6">
                <a:lumMod val="60000"/>
                <a:lumOff val="40000"/>
              </a:schemeClr>
            </a:solidFill>
            <a:ln>
              <a:noFill/>
            </a:ln>
            <a:effectLst/>
          </c:spPr>
          <c:invertIfNegative val="0"/>
          <c:dLbls>
            <c:spPr>
              <a:solidFill>
                <a:srgbClr val="4EA72E">
                  <a:lumMod val="60000"/>
                  <a:lumOff val="40000"/>
                </a:srgb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tables'!$G$79:$G$85</c:f>
              <c:strCache>
                <c:ptCount val="7"/>
                <c:pt idx="0">
                  <c:v>Leadership</c:v>
                </c:pt>
                <c:pt idx="1">
                  <c:v>Human Resources</c:v>
                </c:pt>
                <c:pt idx="2">
                  <c:v>Finance</c:v>
                </c:pt>
                <c:pt idx="3">
                  <c:v>Marketing</c:v>
                </c:pt>
                <c:pt idx="4">
                  <c:v>Operations and production</c:v>
                </c:pt>
                <c:pt idx="5">
                  <c:v>Customer Support</c:v>
                </c:pt>
                <c:pt idx="6">
                  <c:v>Sales</c:v>
                </c:pt>
              </c:strCache>
            </c:strRef>
          </c:cat>
          <c:val>
            <c:numRef>
              <c:f>'Pivot tables'!$I$79:$I$85</c:f>
              <c:numCache>
                <c:formatCode>General</c:formatCode>
                <c:ptCount val="7"/>
                <c:pt idx="0">
                  <c:v>8</c:v>
                </c:pt>
                <c:pt idx="1">
                  <c:v>9</c:v>
                </c:pt>
                <c:pt idx="2">
                  <c:v>25</c:v>
                </c:pt>
                <c:pt idx="3">
                  <c:v>30</c:v>
                </c:pt>
                <c:pt idx="4">
                  <c:v>63</c:v>
                </c:pt>
                <c:pt idx="5">
                  <c:v>58</c:v>
                </c:pt>
                <c:pt idx="6">
                  <c:v>51</c:v>
                </c:pt>
              </c:numCache>
            </c:numRef>
          </c:val>
          <c:extLst>
            <c:ext xmlns:c16="http://schemas.microsoft.com/office/drawing/2014/chart" uri="{C3380CC4-5D6E-409C-BE32-E72D297353CC}">
              <c16:uniqueId val="{00000001-F3DD-4E3B-AB18-38A03FE17B03}"/>
            </c:ext>
          </c:extLst>
        </c:ser>
        <c:ser>
          <c:idx val="2"/>
          <c:order val="2"/>
          <c:tx>
            <c:strRef>
              <c:f>'Pivot tables'!$J$78</c:f>
              <c:strCache>
                <c:ptCount val="1"/>
                <c:pt idx="0">
                  <c:v>top</c:v>
                </c:pt>
              </c:strCache>
            </c:strRef>
          </c:tx>
          <c:spPr>
            <a:solidFill>
              <a:schemeClr val="accent6">
                <a:lumMod val="75000"/>
              </a:schemeClr>
            </a:solidFill>
            <a:ln>
              <a:noFill/>
            </a:ln>
            <a:effectLst/>
          </c:spPr>
          <c:invertIfNegative val="0"/>
          <c:dLbls>
            <c:spPr>
              <a:solidFill>
                <a:srgbClr val="4EA72E">
                  <a:lumMod val="75000"/>
                </a:srgb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tables'!$G$79:$G$85</c:f>
              <c:strCache>
                <c:ptCount val="7"/>
                <c:pt idx="0">
                  <c:v>Leadership</c:v>
                </c:pt>
                <c:pt idx="1">
                  <c:v>Human Resources</c:v>
                </c:pt>
                <c:pt idx="2">
                  <c:v>Finance</c:v>
                </c:pt>
                <c:pt idx="3">
                  <c:v>Marketing</c:v>
                </c:pt>
                <c:pt idx="4">
                  <c:v>Operations and production</c:v>
                </c:pt>
                <c:pt idx="5">
                  <c:v>Customer Support</c:v>
                </c:pt>
                <c:pt idx="6">
                  <c:v>Sales</c:v>
                </c:pt>
              </c:strCache>
            </c:strRef>
          </c:cat>
          <c:val>
            <c:numRef>
              <c:f>'Pivot tables'!$J$79:$J$85</c:f>
              <c:numCache>
                <c:formatCode>General</c:formatCode>
                <c:ptCount val="7"/>
                <c:pt idx="0">
                  <c:v>4</c:v>
                </c:pt>
                <c:pt idx="1">
                  <c:v>1</c:v>
                </c:pt>
                <c:pt idx="2">
                  <c:v>5</c:v>
                </c:pt>
                <c:pt idx="3">
                  <c:v>20</c:v>
                </c:pt>
                <c:pt idx="4">
                  <c:v>47</c:v>
                </c:pt>
                <c:pt idx="5">
                  <c:v>66</c:v>
                </c:pt>
                <c:pt idx="6">
                  <c:v>72</c:v>
                </c:pt>
              </c:numCache>
            </c:numRef>
          </c:val>
          <c:extLst>
            <c:ext xmlns:c16="http://schemas.microsoft.com/office/drawing/2014/chart" uri="{C3380CC4-5D6E-409C-BE32-E72D297353CC}">
              <c16:uniqueId val="{00000002-F3DD-4E3B-AB18-38A03FE17B03}"/>
            </c:ext>
          </c:extLst>
        </c:ser>
        <c:dLbls>
          <c:showLegendKey val="0"/>
          <c:showVal val="0"/>
          <c:showCatName val="0"/>
          <c:showSerName val="0"/>
          <c:showPercent val="0"/>
          <c:showBubbleSize val="0"/>
        </c:dLbls>
        <c:gapWidth val="30"/>
        <c:overlap val="100"/>
        <c:axId val="413785439"/>
        <c:axId val="413784479"/>
      </c:barChart>
      <c:catAx>
        <c:axId val="413785439"/>
        <c:scaling>
          <c:orientation val="minMax"/>
        </c:scaling>
        <c:delete val="0"/>
        <c:axPos val="l"/>
        <c:numFmt formatCode="General"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84479"/>
        <c:crosses val="autoZero"/>
        <c:auto val="1"/>
        <c:lblAlgn val="ctr"/>
        <c:lblOffset val="100"/>
        <c:noMultiLvlLbl val="0"/>
      </c:catAx>
      <c:valAx>
        <c:axId val="413784479"/>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crossAx val="4137854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35A52"/>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9478132511172031E-2"/>
          <c:y val="8.2252876638182842E-2"/>
          <c:w val="0.84478310959131619"/>
          <c:h val="0.80092637237183062"/>
        </c:manualLayout>
      </c:layout>
      <c:pie3DChart>
        <c:varyColors val="1"/>
        <c:ser>
          <c:idx val="0"/>
          <c:order val="0"/>
          <c:tx>
            <c:strRef>
              <c:f>'Pivot tables'!$E$98</c:f>
              <c:strCache>
                <c:ptCount val="1"/>
                <c:pt idx="0">
                  <c:v>Count of ID</c:v>
                </c:pt>
              </c:strCache>
            </c:strRef>
          </c:tx>
          <c:dPt>
            <c:idx val="0"/>
            <c:bubble3D val="0"/>
            <c:spPr>
              <a:solidFill>
                <a:srgbClr val="13501B"/>
              </a:solidFill>
              <a:ln w="25400">
                <a:solidFill>
                  <a:schemeClr val="lt1"/>
                </a:solidFill>
              </a:ln>
              <a:effectLst>
                <a:outerShdw blurRad="50800" dist="38100" dir="2700000" algn="tl" rotWithShape="0">
                  <a:prstClr val="black">
                    <a:alpha val="40000"/>
                  </a:prstClr>
                </a:outerShdw>
              </a:effectLst>
              <a:sp3d contourW="25400">
                <a:contourClr>
                  <a:schemeClr val="lt1"/>
                </a:contourClr>
              </a:sp3d>
            </c:spPr>
            <c:extLst>
              <c:ext xmlns:c16="http://schemas.microsoft.com/office/drawing/2014/chart" uri="{C3380CC4-5D6E-409C-BE32-E72D297353CC}">
                <c16:uniqueId val="{00000001-B0E9-4730-928D-368DC7107727}"/>
              </c:ext>
            </c:extLst>
          </c:dPt>
          <c:dPt>
            <c:idx val="1"/>
            <c:bubble3D val="0"/>
            <c:spPr>
              <a:solidFill>
                <a:srgbClr val="92D050"/>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E9-4730-928D-368DC7107727}"/>
              </c:ext>
            </c:extLst>
          </c:dPt>
          <c:dPt>
            <c:idx val="2"/>
            <c:bubble3D val="0"/>
            <c:spPr>
              <a:solidFill>
                <a:srgbClr val="3B7D2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E9-4730-928D-368DC7107727}"/>
              </c:ext>
            </c:extLst>
          </c:dPt>
          <c:dLbls>
            <c:dLbl>
              <c:idx val="0"/>
              <c:spPr>
                <a:solidFill>
                  <a:srgbClr val="13501B"/>
                </a:solid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B0E9-4730-928D-368DC7107727}"/>
                </c:ext>
              </c:extLst>
            </c:dLbl>
            <c:dLbl>
              <c:idx val="1"/>
              <c:spPr>
                <a:solidFill>
                  <a:srgbClr val="92D050"/>
                </a:solid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B0E9-4730-928D-368DC7107727}"/>
                </c:ext>
              </c:extLst>
            </c:dLbl>
            <c:dLbl>
              <c:idx val="2"/>
              <c:spPr>
                <a:solidFill>
                  <a:srgbClr val="3B7D23"/>
                </a:solidFill>
                <a:ln>
                  <a:no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B0E9-4730-928D-368DC7107727}"/>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tables'!$D$99:$D$101</c:f>
              <c:strCache>
                <c:ptCount val="3"/>
                <c:pt idx="0">
                  <c:v>Adult</c:v>
                </c:pt>
                <c:pt idx="1">
                  <c:v>Old</c:v>
                </c:pt>
                <c:pt idx="2">
                  <c:v>Young</c:v>
                </c:pt>
              </c:strCache>
            </c:strRef>
          </c:cat>
          <c:val>
            <c:numRef>
              <c:f>'Pivot tables'!$E$99:$E$101</c:f>
              <c:numCache>
                <c:formatCode>General</c:formatCode>
                <c:ptCount val="3"/>
                <c:pt idx="0">
                  <c:v>466</c:v>
                </c:pt>
                <c:pt idx="1">
                  <c:v>334</c:v>
                </c:pt>
                <c:pt idx="2">
                  <c:v>35</c:v>
                </c:pt>
              </c:numCache>
            </c:numRef>
          </c:val>
          <c:extLst>
            <c:ext xmlns:c16="http://schemas.microsoft.com/office/drawing/2014/chart" uri="{C3380CC4-5D6E-409C-BE32-E72D297353CC}">
              <c16:uniqueId val="{00000006-B0E9-4730-928D-368DC7107727}"/>
            </c:ext>
          </c:extLst>
        </c:ser>
        <c:dLbls>
          <c:showLegendKey val="0"/>
          <c:showVal val="0"/>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35A52"/>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1.xml"/><Relationship Id="rId7" Type="http://schemas.openxmlformats.org/officeDocument/2006/relationships/chart" Target="../charts/chart4.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image" Target="../media/image5.svg"/><Relationship Id="rId5" Type="http://schemas.openxmlformats.org/officeDocument/2006/relationships/image" Target="../media/image3.png"/><Relationship Id="rId10" Type="http://schemas.openxmlformats.org/officeDocument/2006/relationships/image" Target="../media/image4.png"/><Relationship Id="rId4" Type="http://schemas.openxmlformats.org/officeDocument/2006/relationships/chart" Target="../charts/chart2.xml"/><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6</xdr:col>
      <xdr:colOff>52387</xdr:colOff>
      <xdr:row>2</xdr:row>
      <xdr:rowOff>164307</xdr:rowOff>
    </xdr:from>
    <xdr:to>
      <xdr:col>7</xdr:col>
      <xdr:colOff>178594</xdr:colOff>
      <xdr:row>16</xdr:row>
      <xdr:rowOff>164307</xdr:rowOff>
    </xdr:to>
    <mc:AlternateContent xmlns:mc="http://schemas.openxmlformats.org/markup-compatibility/2006" xmlns:a14="http://schemas.microsoft.com/office/drawing/2010/main">
      <mc:Choice Requires="a14">
        <xdr:graphicFrame macro="">
          <xdr:nvGraphicFramePr>
            <xdr:cNvPr id="16" name="Gender">
              <a:extLst>
                <a:ext uri="{FF2B5EF4-FFF2-40B4-BE49-F238E27FC236}">
                  <a16:creationId xmlns:a16="http://schemas.microsoft.com/office/drawing/2014/main" id="{2592ADD3-CB74-4C9C-7D7E-58FB9F57181F}"/>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4838700" y="545307"/>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219075</xdr:colOff>
      <xdr:row>2</xdr:row>
      <xdr:rowOff>164306</xdr:rowOff>
    </xdr:from>
    <xdr:to>
      <xdr:col>9</xdr:col>
      <xdr:colOff>261937</xdr:colOff>
      <xdr:row>16</xdr:row>
      <xdr:rowOff>164306</xdr:rowOff>
    </xdr:to>
    <mc:AlternateContent xmlns:mc="http://schemas.openxmlformats.org/markup-compatibility/2006" xmlns:a14="http://schemas.microsoft.com/office/drawing/2010/main">
      <mc:Choice Requires="a14">
        <xdr:graphicFrame macro="">
          <xdr:nvGraphicFramePr>
            <xdr:cNvPr id="17" name="Department">
              <a:extLst>
                <a:ext uri="{FF2B5EF4-FFF2-40B4-BE49-F238E27FC236}">
                  <a16:creationId xmlns:a16="http://schemas.microsoft.com/office/drawing/2014/main" id="{3E30B93D-4D05-3051-315D-96D51007718D}"/>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6707981" y="545306"/>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261938</xdr:colOff>
      <xdr:row>2</xdr:row>
      <xdr:rowOff>164305</xdr:rowOff>
    </xdr:from>
    <xdr:to>
      <xdr:col>12</xdr:col>
      <xdr:colOff>269082</xdr:colOff>
      <xdr:row>16</xdr:row>
      <xdr:rowOff>164305</xdr:rowOff>
    </xdr:to>
    <mc:AlternateContent xmlns:mc="http://schemas.openxmlformats.org/markup-compatibility/2006" xmlns:a14="http://schemas.microsoft.com/office/drawing/2010/main">
      <mc:Choice Requires="a14">
        <xdr:graphicFrame macro="">
          <xdr:nvGraphicFramePr>
            <xdr:cNvPr id="18" name="Performance">
              <a:extLst>
                <a:ext uri="{FF2B5EF4-FFF2-40B4-BE49-F238E27FC236}">
                  <a16:creationId xmlns:a16="http://schemas.microsoft.com/office/drawing/2014/main" id="{90BD5C28-706F-651C-E54E-882C1FB15F88}"/>
                </a:ext>
              </a:extLst>
            </xdr:cNvPr>
            <xdr:cNvGraphicFramePr/>
          </xdr:nvGraphicFramePr>
          <xdr:xfrm>
            <a:off x="0" y="0"/>
            <a:ext cx="0" cy="0"/>
          </xdr:xfrm>
          <a:graphic>
            <a:graphicData uri="http://schemas.microsoft.com/office/drawing/2010/slicer">
              <sle:slicer xmlns:sle="http://schemas.microsoft.com/office/drawing/2010/slicer" name="Performance"/>
            </a:graphicData>
          </a:graphic>
        </xdr:graphicFrame>
      </mc:Choice>
      <mc:Fallback xmlns="">
        <xdr:sp macro="" textlink="">
          <xdr:nvSpPr>
            <xdr:cNvPr id="0" name=""/>
            <xdr:cNvSpPr>
              <a:spLocks noTextEdit="1"/>
            </xdr:cNvSpPr>
          </xdr:nvSpPr>
          <xdr:spPr>
            <a:xfrm>
              <a:off x="8536782" y="54530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462243</xdr:colOff>
      <xdr:row>0</xdr:row>
      <xdr:rowOff>154080</xdr:rowOff>
    </xdr:from>
    <xdr:to>
      <xdr:col>24</xdr:col>
      <xdr:colOff>210110</xdr:colOff>
      <xdr:row>5</xdr:row>
      <xdr:rowOff>84044</xdr:rowOff>
    </xdr:to>
    <xdr:sp macro="" textlink="">
      <xdr:nvSpPr>
        <xdr:cNvPr id="5" name="Rectangle: Rounded Corners 4">
          <a:extLst>
            <a:ext uri="{FF2B5EF4-FFF2-40B4-BE49-F238E27FC236}">
              <a16:creationId xmlns:a16="http://schemas.microsoft.com/office/drawing/2014/main" id="{E3E16C7B-7265-665F-66E5-9D43F8D30090}"/>
            </a:ext>
          </a:extLst>
        </xdr:cNvPr>
        <xdr:cNvSpPr/>
      </xdr:nvSpPr>
      <xdr:spPr>
        <a:xfrm>
          <a:off x="462243" y="154080"/>
          <a:ext cx="14539632" cy="910479"/>
        </a:xfrm>
        <a:prstGeom prst="roundRect">
          <a:avLst/>
        </a:prstGeom>
        <a:solidFill>
          <a:srgbClr val="035A5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107155</xdr:colOff>
      <xdr:row>1</xdr:row>
      <xdr:rowOff>95249</xdr:rowOff>
    </xdr:from>
    <xdr:to>
      <xdr:col>19</xdr:col>
      <xdr:colOff>357186</xdr:colOff>
      <xdr:row>4</xdr:row>
      <xdr:rowOff>107156</xdr:rowOff>
    </xdr:to>
    <xdr:sp macro="" textlink="">
      <xdr:nvSpPr>
        <xdr:cNvPr id="3" name="TextBox 2">
          <a:extLst>
            <a:ext uri="{FF2B5EF4-FFF2-40B4-BE49-F238E27FC236}">
              <a16:creationId xmlns:a16="http://schemas.microsoft.com/office/drawing/2014/main" id="{DCEBD18C-462B-65B1-BB7D-31756312D48C}"/>
            </a:ext>
          </a:extLst>
        </xdr:cNvPr>
        <xdr:cNvSpPr txBox="1"/>
      </xdr:nvSpPr>
      <xdr:spPr>
        <a:xfrm>
          <a:off x="3143249" y="285749"/>
          <a:ext cx="8751093" cy="583407"/>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latin typeface="Segoe UI Semibold" panose="020B0702040204020203" pitchFamily="34" charset="0"/>
              <a:cs typeface="Segoe UI Semibold" panose="020B0702040204020203" pitchFamily="34" charset="0"/>
            </a:rPr>
            <a:t>Workforce Dynamics &amp; Investment</a:t>
          </a:r>
        </a:p>
      </xdr:txBody>
    </xdr:sp>
    <xdr:clientData/>
  </xdr:twoCellAnchor>
  <xdr:twoCellAnchor>
    <xdr:from>
      <xdr:col>0</xdr:col>
      <xdr:colOff>428624</xdr:colOff>
      <xdr:row>5</xdr:row>
      <xdr:rowOff>178593</xdr:rowOff>
    </xdr:from>
    <xdr:to>
      <xdr:col>4</xdr:col>
      <xdr:colOff>345281</xdr:colOff>
      <xdr:row>12</xdr:row>
      <xdr:rowOff>83343</xdr:rowOff>
    </xdr:to>
    <xdr:sp macro="" textlink="">
      <xdr:nvSpPr>
        <xdr:cNvPr id="4" name="Rectangle: Rounded Corners 3">
          <a:extLst>
            <a:ext uri="{FF2B5EF4-FFF2-40B4-BE49-F238E27FC236}">
              <a16:creationId xmlns:a16="http://schemas.microsoft.com/office/drawing/2014/main" id="{E043CA01-52C6-8470-3B9F-6159AD059C90}"/>
            </a:ext>
          </a:extLst>
        </xdr:cNvPr>
        <xdr:cNvSpPr/>
      </xdr:nvSpPr>
      <xdr:spPr>
        <a:xfrm>
          <a:off x="428624" y="1131093"/>
          <a:ext cx="2345532" cy="1238250"/>
        </a:xfrm>
        <a:prstGeom prst="roundRect">
          <a:avLst/>
        </a:prstGeom>
        <a:solidFill>
          <a:srgbClr val="035A5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35718</xdr:rowOff>
    </xdr:from>
    <xdr:to>
      <xdr:col>4</xdr:col>
      <xdr:colOff>107156</xdr:colOff>
      <xdr:row>7</xdr:row>
      <xdr:rowOff>178593</xdr:rowOff>
    </xdr:to>
    <xdr:sp macro="" textlink="">
      <xdr:nvSpPr>
        <xdr:cNvPr id="13" name="Rectangle: Rounded Corners 12">
          <a:extLst>
            <a:ext uri="{FF2B5EF4-FFF2-40B4-BE49-F238E27FC236}">
              <a16:creationId xmlns:a16="http://schemas.microsoft.com/office/drawing/2014/main" id="{2BAF4082-7395-A872-ADF9-4947A3CA38AE}"/>
            </a:ext>
          </a:extLst>
        </xdr:cNvPr>
        <xdr:cNvSpPr/>
      </xdr:nvSpPr>
      <xdr:spPr>
        <a:xfrm>
          <a:off x="607219" y="1178718"/>
          <a:ext cx="1928812" cy="333375"/>
        </a:xfrm>
        <a:prstGeom prst="roundRect">
          <a:avLst/>
        </a:prstGeom>
        <a:solidFill>
          <a:srgbClr val="035A5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357188</xdr:colOff>
      <xdr:row>6</xdr:row>
      <xdr:rowOff>11907</xdr:rowOff>
    </xdr:from>
    <xdr:to>
      <xdr:col>8</xdr:col>
      <xdr:colOff>273845</xdr:colOff>
      <xdr:row>12</xdr:row>
      <xdr:rowOff>107157</xdr:rowOff>
    </xdr:to>
    <xdr:sp macro="" textlink="">
      <xdr:nvSpPr>
        <xdr:cNvPr id="14" name="Rectangle: Rounded Corners 13">
          <a:extLst>
            <a:ext uri="{FF2B5EF4-FFF2-40B4-BE49-F238E27FC236}">
              <a16:creationId xmlns:a16="http://schemas.microsoft.com/office/drawing/2014/main" id="{CB548AEE-EBF1-4646-B4F2-D5252A2B630F}"/>
            </a:ext>
          </a:extLst>
        </xdr:cNvPr>
        <xdr:cNvSpPr/>
      </xdr:nvSpPr>
      <xdr:spPr>
        <a:xfrm>
          <a:off x="2786063" y="1154907"/>
          <a:ext cx="2345532" cy="1238250"/>
        </a:xfrm>
        <a:prstGeom prst="roundRect">
          <a:avLst/>
        </a:prstGeom>
        <a:solidFill>
          <a:srgbClr val="035A5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223837</xdr:colOff>
      <xdr:row>6</xdr:row>
      <xdr:rowOff>21431</xdr:rowOff>
    </xdr:from>
    <xdr:to>
      <xdr:col>16</xdr:col>
      <xdr:colOff>140494</xdr:colOff>
      <xdr:row>12</xdr:row>
      <xdr:rowOff>116681</xdr:rowOff>
    </xdr:to>
    <xdr:sp macro="" textlink="">
      <xdr:nvSpPr>
        <xdr:cNvPr id="15" name="Rectangle: Rounded Corners 14">
          <a:extLst>
            <a:ext uri="{FF2B5EF4-FFF2-40B4-BE49-F238E27FC236}">
              <a16:creationId xmlns:a16="http://schemas.microsoft.com/office/drawing/2014/main" id="{BB7A44AD-B337-47CB-B7B1-9F2D9437D83A}"/>
            </a:ext>
          </a:extLst>
        </xdr:cNvPr>
        <xdr:cNvSpPr/>
      </xdr:nvSpPr>
      <xdr:spPr>
        <a:xfrm>
          <a:off x="7510462" y="1164431"/>
          <a:ext cx="2345532" cy="1238250"/>
        </a:xfrm>
        <a:prstGeom prst="roundRect">
          <a:avLst/>
        </a:prstGeom>
        <a:solidFill>
          <a:srgbClr val="035A5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161925</xdr:colOff>
      <xdr:row>6</xdr:row>
      <xdr:rowOff>19050</xdr:rowOff>
    </xdr:from>
    <xdr:to>
      <xdr:col>21</xdr:col>
      <xdr:colOff>35718</xdr:colOff>
      <xdr:row>12</xdr:row>
      <xdr:rowOff>114300</xdr:rowOff>
    </xdr:to>
    <xdr:sp macro="" textlink="">
      <xdr:nvSpPr>
        <xdr:cNvPr id="16" name="Rectangle: Rounded Corners 15">
          <a:extLst>
            <a:ext uri="{FF2B5EF4-FFF2-40B4-BE49-F238E27FC236}">
              <a16:creationId xmlns:a16="http://schemas.microsoft.com/office/drawing/2014/main" id="{263BC3D5-CA64-4660-958D-108538C8E62A}"/>
            </a:ext>
          </a:extLst>
        </xdr:cNvPr>
        <xdr:cNvSpPr/>
      </xdr:nvSpPr>
      <xdr:spPr>
        <a:xfrm>
          <a:off x="9877425" y="1162050"/>
          <a:ext cx="2909887" cy="1238250"/>
        </a:xfrm>
        <a:prstGeom prst="roundRect">
          <a:avLst/>
        </a:prstGeom>
        <a:solidFill>
          <a:srgbClr val="035A5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302418</xdr:colOff>
      <xdr:row>6</xdr:row>
      <xdr:rowOff>40481</xdr:rowOff>
    </xdr:from>
    <xdr:to>
      <xdr:col>12</xdr:col>
      <xdr:colOff>219075</xdr:colOff>
      <xdr:row>12</xdr:row>
      <xdr:rowOff>135731</xdr:rowOff>
    </xdr:to>
    <xdr:sp macro="" textlink="">
      <xdr:nvSpPr>
        <xdr:cNvPr id="17" name="Rectangle: Rounded Corners 16">
          <a:extLst>
            <a:ext uri="{FF2B5EF4-FFF2-40B4-BE49-F238E27FC236}">
              <a16:creationId xmlns:a16="http://schemas.microsoft.com/office/drawing/2014/main" id="{3E5EAE28-0E4B-4B83-BFE7-4B1D5339121D}"/>
            </a:ext>
          </a:extLst>
        </xdr:cNvPr>
        <xdr:cNvSpPr/>
      </xdr:nvSpPr>
      <xdr:spPr>
        <a:xfrm>
          <a:off x="5160168" y="1183481"/>
          <a:ext cx="2345532" cy="1238250"/>
        </a:xfrm>
        <a:prstGeom prst="roundRect">
          <a:avLst/>
        </a:prstGeom>
        <a:solidFill>
          <a:srgbClr val="035A5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178593</xdr:colOff>
      <xdr:row>5</xdr:row>
      <xdr:rowOff>154780</xdr:rowOff>
    </xdr:from>
    <xdr:to>
      <xdr:col>24</xdr:col>
      <xdr:colOff>297656</xdr:colOff>
      <xdr:row>34</xdr:row>
      <xdr:rowOff>47624</xdr:rowOff>
    </xdr:to>
    <xdr:sp macro="" textlink="">
      <xdr:nvSpPr>
        <xdr:cNvPr id="18" name="Rectangle: Rounded Corners 17">
          <a:extLst>
            <a:ext uri="{FF2B5EF4-FFF2-40B4-BE49-F238E27FC236}">
              <a16:creationId xmlns:a16="http://schemas.microsoft.com/office/drawing/2014/main" id="{39619D01-CBF2-4EE4-B60C-A7104550FC9E}"/>
            </a:ext>
          </a:extLst>
        </xdr:cNvPr>
        <xdr:cNvSpPr/>
      </xdr:nvSpPr>
      <xdr:spPr>
        <a:xfrm>
          <a:off x="12930187" y="1107280"/>
          <a:ext cx="1940719" cy="5417344"/>
        </a:xfrm>
        <a:prstGeom prst="roundRect">
          <a:avLst>
            <a:gd name="adj" fmla="val 9919"/>
          </a:avLst>
        </a:prstGeom>
        <a:solidFill>
          <a:srgbClr val="035A5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583407</xdr:colOff>
      <xdr:row>6</xdr:row>
      <xdr:rowOff>71438</xdr:rowOff>
    </xdr:from>
    <xdr:to>
      <xdr:col>8</xdr:col>
      <xdr:colOff>83344</xdr:colOff>
      <xdr:row>8</xdr:row>
      <xdr:rowOff>23813</xdr:rowOff>
    </xdr:to>
    <xdr:sp macro="" textlink="">
      <xdr:nvSpPr>
        <xdr:cNvPr id="21" name="Rectangle: Rounded Corners 20">
          <a:extLst>
            <a:ext uri="{FF2B5EF4-FFF2-40B4-BE49-F238E27FC236}">
              <a16:creationId xmlns:a16="http://schemas.microsoft.com/office/drawing/2014/main" id="{381CC6DA-ECCB-43AF-87EB-99F1642E13CE}"/>
            </a:ext>
          </a:extLst>
        </xdr:cNvPr>
        <xdr:cNvSpPr/>
      </xdr:nvSpPr>
      <xdr:spPr>
        <a:xfrm>
          <a:off x="3012282" y="1214438"/>
          <a:ext cx="1928812" cy="333375"/>
        </a:xfrm>
        <a:prstGeom prst="roundRect">
          <a:avLst/>
        </a:prstGeom>
        <a:solidFill>
          <a:srgbClr val="035A5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528637</xdr:colOff>
      <xdr:row>6</xdr:row>
      <xdr:rowOff>100013</xdr:rowOff>
    </xdr:from>
    <xdr:to>
      <xdr:col>12</xdr:col>
      <xdr:colOff>28574</xdr:colOff>
      <xdr:row>8</xdr:row>
      <xdr:rowOff>52388</xdr:rowOff>
    </xdr:to>
    <xdr:sp macro="" textlink="">
      <xdr:nvSpPr>
        <xdr:cNvPr id="22" name="Rectangle: Rounded Corners 21">
          <a:extLst>
            <a:ext uri="{FF2B5EF4-FFF2-40B4-BE49-F238E27FC236}">
              <a16:creationId xmlns:a16="http://schemas.microsoft.com/office/drawing/2014/main" id="{F8FC60A5-3CB9-4336-8AFF-94C85238E05D}"/>
            </a:ext>
          </a:extLst>
        </xdr:cNvPr>
        <xdr:cNvSpPr/>
      </xdr:nvSpPr>
      <xdr:spPr>
        <a:xfrm>
          <a:off x="5386387" y="1243013"/>
          <a:ext cx="1928812" cy="333375"/>
        </a:xfrm>
        <a:prstGeom prst="roundRect">
          <a:avLst/>
        </a:prstGeom>
        <a:solidFill>
          <a:srgbClr val="035A5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426244</xdr:colOff>
      <xdr:row>6</xdr:row>
      <xdr:rowOff>69057</xdr:rowOff>
    </xdr:from>
    <xdr:to>
      <xdr:col>15</xdr:col>
      <xdr:colOff>533400</xdr:colOff>
      <xdr:row>8</xdr:row>
      <xdr:rowOff>21432</xdr:rowOff>
    </xdr:to>
    <xdr:sp macro="" textlink="">
      <xdr:nvSpPr>
        <xdr:cNvPr id="23" name="Rectangle: Rounded Corners 22">
          <a:extLst>
            <a:ext uri="{FF2B5EF4-FFF2-40B4-BE49-F238E27FC236}">
              <a16:creationId xmlns:a16="http://schemas.microsoft.com/office/drawing/2014/main" id="{98DFF275-AB85-4882-9126-D01152286065}"/>
            </a:ext>
          </a:extLst>
        </xdr:cNvPr>
        <xdr:cNvSpPr/>
      </xdr:nvSpPr>
      <xdr:spPr>
        <a:xfrm>
          <a:off x="7712869" y="1212057"/>
          <a:ext cx="1928812" cy="333375"/>
        </a:xfrm>
        <a:prstGeom prst="roundRect">
          <a:avLst/>
        </a:prstGeom>
        <a:solidFill>
          <a:srgbClr val="035A5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357188</xdr:colOff>
      <xdr:row>6</xdr:row>
      <xdr:rowOff>66674</xdr:rowOff>
    </xdr:from>
    <xdr:to>
      <xdr:col>20</xdr:col>
      <xdr:colOff>428625</xdr:colOff>
      <xdr:row>8</xdr:row>
      <xdr:rowOff>19049</xdr:rowOff>
    </xdr:to>
    <xdr:sp macro="" textlink="">
      <xdr:nvSpPr>
        <xdr:cNvPr id="24" name="Rectangle: Rounded Corners 23">
          <a:extLst>
            <a:ext uri="{FF2B5EF4-FFF2-40B4-BE49-F238E27FC236}">
              <a16:creationId xmlns:a16="http://schemas.microsoft.com/office/drawing/2014/main" id="{272D5A17-752D-4D58-8E00-804EC6652AA5}"/>
            </a:ext>
          </a:extLst>
        </xdr:cNvPr>
        <xdr:cNvSpPr/>
      </xdr:nvSpPr>
      <xdr:spPr>
        <a:xfrm>
          <a:off x="10072688" y="1209674"/>
          <a:ext cx="2500312" cy="333375"/>
        </a:xfrm>
        <a:prstGeom prst="roundRect">
          <a:avLst/>
        </a:prstGeom>
        <a:solidFill>
          <a:srgbClr val="035A5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428626</xdr:colOff>
      <xdr:row>0</xdr:row>
      <xdr:rowOff>119063</xdr:rowOff>
    </xdr:from>
    <xdr:to>
      <xdr:col>6</xdr:col>
      <xdr:colOff>128588</xdr:colOff>
      <xdr:row>5</xdr:row>
      <xdr:rowOff>80963</xdr:rowOff>
    </xdr:to>
    <xdr:pic macro="[0]!Graphic25_Click">
      <xdr:nvPicPr>
        <xdr:cNvPr id="26" name="Graphic 25" descr="Group of men with solid fill">
          <a:extLst>
            <a:ext uri="{FF2B5EF4-FFF2-40B4-BE49-F238E27FC236}">
              <a16:creationId xmlns:a16="http://schemas.microsoft.com/office/drawing/2014/main" id="{87870E88-9F19-0574-850F-8451C2C61A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57501" y="119063"/>
          <a:ext cx="914400" cy="914400"/>
        </a:xfrm>
        <a:prstGeom prst="rect">
          <a:avLst/>
        </a:prstGeom>
      </xdr:spPr>
    </xdr:pic>
    <xdr:clientData/>
  </xdr:twoCellAnchor>
  <xdr:twoCellAnchor editAs="oneCell">
    <xdr:from>
      <xdr:col>18</xdr:col>
      <xdr:colOff>330992</xdr:colOff>
      <xdr:row>1</xdr:row>
      <xdr:rowOff>56029</xdr:rowOff>
    </xdr:from>
    <xdr:to>
      <xdr:col>19</xdr:col>
      <xdr:colOff>574302</xdr:colOff>
      <xdr:row>5</xdr:row>
      <xdr:rowOff>83344</xdr:rowOff>
    </xdr:to>
    <xdr:pic>
      <xdr:nvPicPr>
        <xdr:cNvPr id="27" name="Graphic 26" descr="Group of men with solid fill">
          <a:extLst>
            <a:ext uri="{FF2B5EF4-FFF2-40B4-BE49-F238E27FC236}">
              <a16:creationId xmlns:a16="http://schemas.microsoft.com/office/drawing/2014/main" id="{A6D546D9-C241-4AB0-BB1D-7BB72ED90E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424816" y="252132"/>
          <a:ext cx="859633" cy="811727"/>
        </a:xfrm>
        <a:prstGeom prst="rect">
          <a:avLst/>
        </a:prstGeom>
      </xdr:spPr>
    </xdr:pic>
    <xdr:clientData/>
  </xdr:twoCellAnchor>
  <xdr:twoCellAnchor>
    <xdr:from>
      <xdr:col>1</xdr:col>
      <xdr:colOff>11906</xdr:colOff>
      <xdr:row>6</xdr:row>
      <xdr:rowOff>35719</xdr:rowOff>
    </xdr:from>
    <xdr:to>
      <xdr:col>4</xdr:col>
      <xdr:colOff>107156</xdr:colOff>
      <xdr:row>7</xdr:row>
      <xdr:rowOff>130969</xdr:rowOff>
    </xdr:to>
    <xdr:sp macro="" textlink="">
      <xdr:nvSpPr>
        <xdr:cNvPr id="28" name="TextBox 27">
          <a:extLst>
            <a:ext uri="{FF2B5EF4-FFF2-40B4-BE49-F238E27FC236}">
              <a16:creationId xmlns:a16="http://schemas.microsoft.com/office/drawing/2014/main" id="{5663E53F-10D2-F2B0-21DB-741A57C4C9B7}"/>
            </a:ext>
          </a:extLst>
        </xdr:cNvPr>
        <xdr:cNvSpPr txBox="1"/>
      </xdr:nvSpPr>
      <xdr:spPr>
        <a:xfrm>
          <a:off x="619125" y="1178719"/>
          <a:ext cx="1916906" cy="285750"/>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latin typeface="Segoe UI Semibold" panose="020B0702040204020203" pitchFamily="34" charset="0"/>
              <a:cs typeface="Segoe UI Semibold" panose="020B0702040204020203" pitchFamily="34" charset="0"/>
            </a:rPr>
            <a:t>Annual Payroll Investment</a:t>
          </a:r>
        </a:p>
      </xdr:txBody>
    </xdr:sp>
    <xdr:clientData/>
  </xdr:twoCellAnchor>
  <xdr:twoCellAnchor>
    <xdr:from>
      <xdr:col>5</xdr:col>
      <xdr:colOff>178594</xdr:colOff>
      <xdr:row>6</xdr:row>
      <xdr:rowOff>95251</xdr:rowOff>
    </xdr:from>
    <xdr:to>
      <xdr:col>7</xdr:col>
      <xdr:colOff>571500</xdr:colOff>
      <xdr:row>8</xdr:row>
      <xdr:rowOff>1</xdr:rowOff>
    </xdr:to>
    <xdr:sp macro="" textlink="">
      <xdr:nvSpPr>
        <xdr:cNvPr id="30" name="TextBox 29">
          <a:extLst>
            <a:ext uri="{FF2B5EF4-FFF2-40B4-BE49-F238E27FC236}">
              <a16:creationId xmlns:a16="http://schemas.microsoft.com/office/drawing/2014/main" id="{95BF2520-4B83-40FF-A4B6-106A4C999DBF}"/>
            </a:ext>
          </a:extLst>
        </xdr:cNvPr>
        <xdr:cNvSpPr txBox="1"/>
      </xdr:nvSpPr>
      <xdr:spPr>
        <a:xfrm>
          <a:off x="3214688" y="1238251"/>
          <a:ext cx="1607343" cy="285750"/>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b="1">
              <a:latin typeface="Segoe UI Semibold" panose="020B0702040204020203" pitchFamily="34" charset="0"/>
              <a:cs typeface="Segoe UI Semibold" panose="020B0702040204020203" pitchFamily="34" charset="0"/>
            </a:rPr>
            <a:t>Typical Employee Pay</a:t>
          </a:r>
          <a:endParaRPr lang="en-US" sz="1100" b="1">
            <a:latin typeface="Segoe UI Semibold" panose="020B0702040204020203" pitchFamily="34" charset="0"/>
            <a:cs typeface="Segoe UI Semibold" panose="020B0702040204020203" pitchFamily="34" charset="0"/>
          </a:endParaRPr>
        </a:p>
      </xdr:txBody>
    </xdr:sp>
    <xdr:clientData/>
  </xdr:twoCellAnchor>
  <xdr:twoCellAnchor>
    <xdr:from>
      <xdr:col>8</xdr:col>
      <xdr:colOff>583407</xdr:colOff>
      <xdr:row>6</xdr:row>
      <xdr:rowOff>111920</xdr:rowOff>
    </xdr:from>
    <xdr:to>
      <xdr:col>11</xdr:col>
      <xdr:colOff>595313</xdr:colOff>
      <xdr:row>8</xdr:row>
      <xdr:rowOff>16670</xdr:rowOff>
    </xdr:to>
    <xdr:sp macro="" textlink="">
      <xdr:nvSpPr>
        <xdr:cNvPr id="31" name="TextBox 30">
          <a:extLst>
            <a:ext uri="{FF2B5EF4-FFF2-40B4-BE49-F238E27FC236}">
              <a16:creationId xmlns:a16="http://schemas.microsoft.com/office/drawing/2014/main" id="{4CB8DE11-7288-46F9-9C59-ED5FDB7B1FEA}"/>
            </a:ext>
          </a:extLst>
        </xdr:cNvPr>
        <xdr:cNvSpPr txBox="1"/>
      </xdr:nvSpPr>
      <xdr:spPr>
        <a:xfrm>
          <a:off x="5441157" y="1254920"/>
          <a:ext cx="1833562" cy="285750"/>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b="1">
              <a:latin typeface="Segoe UI Semibold" panose="020B0702040204020203" pitchFamily="34" charset="0"/>
              <a:cs typeface="Segoe UI Semibold" panose="020B0702040204020203" pitchFamily="34" charset="0"/>
            </a:rPr>
            <a:t>Standardized Labor Cost</a:t>
          </a:r>
          <a:endParaRPr lang="en-US" sz="1100" b="1">
            <a:latin typeface="Segoe UI Semibold" panose="020B0702040204020203" pitchFamily="34" charset="0"/>
            <a:cs typeface="Segoe UI Semibold" panose="020B0702040204020203" pitchFamily="34" charset="0"/>
          </a:endParaRPr>
        </a:p>
      </xdr:txBody>
    </xdr:sp>
    <xdr:clientData/>
  </xdr:twoCellAnchor>
  <xdr:twoCellAnchor>
    <xdr:from>
      <xdr:col>12</xdr:col>
      <xdr:colOff>511970</xdr:colOff>
      <xdr:row>6</xdr:row>
      <xdr:rowOff>104776</xdr:rowOff>
    </xdr:from>
    <xdr:to>
      <xdr:col>15</xdr:col>
      <xdr:colOff>500064</xdr:colOff>
      <xdr:row>8</xdr:row>
      <xdr:rowOff>9526</xdr:rowOff>
    </xdr:to>
    <xdr:sp macro="" textlink="">
      <xdr:nvSpPr>
        <xdr:cNvPr id="32" name="TextBox 31">
          <a:extLst>
            <a:ext uri="{FF2B5EF4-FFF2-40B4-BE49-F238E27FC236}">
              <a16:creationId xmlns:a16="http://schemas.microsoft.com/office/drawing/2014/main" id="{FBAEA4D4-B7E1-485E-BAE9-9B17A6E5DA11}"/>
            </a:ext>
          </a:extLst>
        </xdr:cNvPr>
        <xdr:cNvSpPr txBox="1"/>
      </xdr:nvSpPr>
      <xdr:spPr>
        <a:xfrm>
          <a:off x="7798595" y="1247776"/>
          <a:ext cx="1809750" cy="285750"/>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b="1">
              <a:latin typeface="Segoe UI Semibold" panose="020B0702040204020203" pitchFamily="34" charset="0"/>
              <a:cs typeface="Segoe UI Semibold" panose="020B0702040204020203" pitchFamily="34" charset="0"/>
            </a:rPr>
            <a:t>Total Workforce Strength</a:t>
          </a:r>
          <a:endParaRPr lang="en-US" sz="1100" b="1">
            <a:latin typeface="Segoe UI Semibold" panose="020B0702040204020203" pitchFamily="34" charset="0"/>
            <a:cs typeface="Segoe UI Semibold" panose="020B0702040204020203" pitchFamily="34" charset="0"/>
          </a:endParaRPr>
        </a:p>
      </xdr:txBody>
    </xdr:sp>
    <xdr:clientData/>
  </xdr:twoCellAnchor>
  <xdr:twoCellAnchor>
    <xdr:from>
      <xdr:col>17</xdr:col>
      <xdr:colOff>71437</xdr:colOff>
      <xdr:row>6</xdr:row>
      <xdr:rowOff>78580</xdr:rowOff>
    </xdr:from>
    <xdr:to>
      <xdr:col>20</xdr:col>
      <xdr:colOff>130969</xdr:colOff>
      <xdr:row>7</xdr:row>
      <xdr:rowOff>173830</xdr:rowOff>
    </xdr:to>
    <xdr:sp macro="" textlink="">
      <xdr:nvSpPr>
        <xdr:cNvPr id="33" name="TextBox 32">
          <a:extLst>
            <a:ext uri="{FF2B5EF4-FFF2-40B4-BE49-F238E27FC236}">
              <a16:creationId xmlns:a16="http://schemas.microsoft.com/office/drawing/2014/main" id="{8C2553EA-C4B2-4C07-99D7-B6C2ED551648}"/>
            </a:ext>
          </a:extLst>
        </xdr:cNvPr>
        <xdr:cNvSpPr txBox="1"/>
      </xdr:nvSpPr>
      <xdr:spPr>
        <a:xfrm>
          <a:off x="10394156" y="1221580"/>
          <a:ext cx="1881188" cy="285750"/>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b="1">
              <a:latin typeface="Segoe UI Semibold" panose="020B0702040204020203" pitchFamily="34" charset="0"/>
              <a:cs typeface="Segoe UI Semibold" panose="020B0702040204020203" pitchFamily="34" charset="0"/>
            </a:rPr>
            <a:t>Average Employee Age</a:t>
          </a:r>
          <a:endParaRPr lang="en-US" sz="1100" b="1">
            <a:latin typeface="Segoe UI Semibold" panose="020B0702040204020203" pitchFamily="34" charset="0"/>
            <a:cs typeface="Segoe UI Semibold" panose="020B0702040204020203" pitchFamily="34" charset="0"/>
          </a:endParaRPr>
        </a:p>
      </xdr:txBody>
    </xdr:sp>
    <xdr:clientData/>
  </xdr:twoCellAnchor>
  <xdr:twoCellAnchor>
    <xdr:from>
      <xdr:col>1</xdr:col>
      <xdr:colOff>59530</xdr:colOff>
      <xdr:row>8</xdr:row>
      <xdr:rowOff>47626</xdr:rowOff>
    </xdr:from>
    <xdr:to>
      <xdr:col>4</xdr:col>
      <xdr:colOff>95249</xdr:colOff>
      <xdr:row>10</xdr:row>
      <xdr:rowOff>142876</xdr:rowOff>
    </xdr:to>
    <xdr:sp macro="" textlink="'Pivot tables'!C4">
      <xdr:nvSpPr>
        <xdr:cNvPr id="34" name="TextBox 33">
          <a:extLst>
            <a:ext uri="{FF2B5EF4-FFF2-40B4-BE49-F238E27FC236}">
              <a16:creationId xmlns:a16="http://schemas.microsoft.com/office/drawing/2014/main" id="{FC24C335-D538-B476-787B-1B4FE3170B49}"/>
            </a:ext>
          </a:extLst>
        </xdr:cNvPr>
        <xdr:cNvSpPr txBox="1"/>
      </xdr:nvSpPr>
      <xdr:spPr>
        <a:xfrm>
          <a:off x="666749" y="1571626"/>
          <a:ext cx="1857375" cy="476250"/>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862DD9-F445-4C1D-8DD9-397928023DCD}" type="TxLink">
            <a:rPr lang="en-US" sz="1800" b="1" i="0" u="none" strike="noStrike">
              <a:solidFill>
                <a:schemeClr val="tx1"/>
              </a:solidFill>
              <a:effectLst/>
              <a:latin typeface="Segoe UI Semibold" panose="020B0702040204020203" pitchFamily="34" charset="0"/>
              <a:ea typeface="+mn-ea"/>
              <a:cs typeface="Segoe UI Semibold" panose="020B0702040204020203" pitchFamily="34" charset="0"/>
            </a:rPr>
            <a:pPr algn="ctr"/>
            <a:t>$65,262,833.45</a:t>
          </a:fld>
          <a:endParaRPr lang="en-US" sz="1800" b="1">
            <a:solidFill>
              <a:schemeClr val="tx1"/>
            </a:solidFill>
            <a:latin typeface="Segoe UI Semibold" panose="020B0702040204020203" pitchFamily="34" charset="0"/>
            <a:cs typeface="Segoe UI Semibold" panose="020B0702040204020203" pitchFamily="34" charset="0"/>
          </a:endParaRPr>
        </a:p>
      </xdr:txBody>
    </xdr:sp>
    <xdr:clientData/>
  </xdr:twoCellAnchor>
  <xdr:twoCellAnchor>
    <xdr:from>
      <xdr:col>4</xdr:col>
      <xdr:colOff>583407</xdr:colOff>
      <xdr:row>8</xdr:row>
      <xdr:rowOff>83345</xdr:rowOff>
    </xdr:from>
    <xdr:to>
      <xdr:col>8</xdr:col>
      <xdr:colOff>11907</xdr:colOff>
      <xdr:row>10</xdr:row>
      <xdr:rowOff>178595</xdr:rowOff>
    </xdr:to>
    <xdr:sp macro="" textlink="'Pivot tables'!C7">
      <xdr:nvSpPr>
        <xdr:cNvPr id="35" name="TextBox 34">
          <a:extLst>
            <a:ext uri="{FF2B5EF4-FFF2-40B4-BE49-F238E27FC236}">
              <a16:creationId xmlns:a16="http://schemas.microsoft.com/office/drawing/2014/main" id="{104B23C7-4752-4B9E-8161-F7BE24F6A336}"/>
            </a:ext>
          </a:extLst>
        </xdr:cNvPr>
        <xdr:cNvSpPr txBox="1"/>
      </xdr:nvSpPr>
      <xdr:spPr>
        <a:xfrm>
          <a:off x="3012282" y="1607345"/>
          <a:ext cx="1857375" cy="476250"/>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0826FA8-2021-4EE7-ABAE-6FC70B4DF2BF}" type="TxLink">
            <a:rPr lang="en-US" sz="1800" b="1" i="0" u="none" strike="noStrike">
              <a:solidFill>
                <a:srgbClr val="000000"/>
              </a:solidFill>
              <a:effectLst/>
              <a:latin typeface="Segoe UI Semibold" panose="020B0702040204020203" pitchFamily="34" charset="0"/>
              <a:ea typeface="+mn-ea"/>
              <a:cs typeface="Segoe UI Semibold" panose="020B0702040204020203" pitchFamily="34" charset="0"/>
            </a:rPr>
            <a:pPr algn="ctr"/>
            <a:t>$78,159.08</a:t>
          </a:fld>
          <a:endParaRPr lang="en-US" sz="1800" b="1">
            <a:latin typeface="Segoe UI Semibold" panose="020B0702040204020203" pitchFamily="34" charset="0"/>
            <a:cs typeface="Segoe UI Semibold" panose="020B0702040204020203" pitchFamily="34" charset="0"/>
          </a:endParaRPr>
        </a:p>
      </xdr:txBody>
    </xdr:sp>
    <xdr:clientData/>
  </xdr:twoCellAnchor>
  <xdr:twoCellAnchor>
    <xdr:from>
      <xdr:col>8</xdr:col>
      <xdr:colOff>540543</xdr:colOff>
      <xdr:row>8</xdr:row>
      <xdr:rowOff>88106</xdr:rowOff>
    </xdr:from>
    <xdr:to>
      <xdr:col>11</xdr:col>
      <xdr:colOff>576262</xdr:colOff>
      <xdr:row>10</xdr:row>
      <xdr:rowOff>183356</xdr:rowOff>
    </xdr:to>
    <xdr:sp macro="" textlink="'Pivot tables'!C10">
      <xdr:nvSpPr>
        <xdr:cNvPr id="36" name="TextBox 35">
          <a:extLst>
            <a:ext uri="{FF2B5EF4-FFF2-40B4-BE49-F238E27FC236}">
              <a16:creationId xmlns:a16="http://schemas.microsoft.com/office/drawing/2014/main" id="{3347CA24-0A29-4297-8791-93C9C14159F6}"/>
            </a:ext>
          </a:extLst>
        </xdr:cNvPr>
        <xdr:cNvSpPr txBox="1"/>
      </xdr:nvSpPr>
      <xdr:spPr>
        <a:xfrm>
          <a:off x="5398293" y="1612106"/>
          <a:ext cx="1857375" cy="476250"/>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A112A4-2973-4C42-903A-E836634E8EE7}" type="TxLink">
            <a:rPr lang="en-US" sz="1800" b="1" i="0" u="none" strike="noStrike">
              <a:solidFill>
                <a:schemeClr val="tx1"/>
              </a:solidFill>
              <a:effectLst/>
              <a:latin typeface="Segoe UI Semibold" panose="020B0702040204020203" pitchFamily="34" charset="0"/>
              <a:ea typeface="+mn-ea"/>
              <a:cs typeface="Segoe UI Semibold" panose="020B0702040204020203" pitchFamily="34" charset="0"/>
            </a:rPr>
            <a:pPr algn="ctr"/>
            <a:t>$103,062.73</a:t>
          </a:fld>
          <a:endParaRPr lang="en-US" sz="1800" b="1">
            <a:solidFill>
              <a:schemeClr val="tx1"/>
            </a:solidFill>
            <a:latin typeface="Segoe UI Semibold" panose="020B0702040204020203" pitchFamily="34" charset="0"/>
            <a:cs typeface="Segoe UI Semibold" panose="020B0702040204020203" pitchFamily="34" charset="0"/>
          </a:endParaRPr>
        </a:p>
      </xdr:txBody>
    </xdr:sp>
    <xdr:clientData/>
  </xdr:twoCellAnchor>
  <xdr:twoCellAnchor>
    <xdr:from>
      <xdr:col>12</xdr:col>
      <xdr:colOff>426243</xdr:colOff>
      <xdr:row>8</xdr:row>
      <xdr:rowOff>80962</xdr:rowOff>
    </xdr:from>
    <xdr:to>
      <xdr:col>15</xdr:col>
      <xdr:colOff>461962</xdr:colOff>
      <xdr:row>10</xdr:row>
      <xdr:rowOff>176212</xdr:rowOff>
    </xdr:to>
    <xdr:sp macro="" textlink="'Pivot tables'!C13">
      <xdr:nvSpPr>
        <xdr:cNvPr id="37" name="TextBox 36">
          <a:extLst>
            <a:ext uri="{FF2B5EF4-FFF2-40B4-BE49-F238E27FC236}">
              <a16:creationId xmlns:a16="http://schemas.microsoft.com/office/drawing/2014/main" id="{2FF6C67B-8B98-4B4F-9398-8C0979D17FA8}"/>
            </a:ext>
          </a:extLst>
        </xdr:cNvPr>
        <xdr:cNvSpPr txBox="1"/>
      </xdr:nvSpPr>
      <xdr:spPr>
        <a:xfrm>
          <a:off x="7712868" y="1604962"/>
          <a:ext cx="1857375" cy="476250"/>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9C41EF-833A-4B29-9650-97EBAE916164}" type="TxLink">
            <a:rPr lang="en-US" sz="1800" b="1" i="0" u="none" strike="noStrike">
              <a:solidFill>
                <a:schemeClr val="tx1"/>
              </a:solidFill>
              <a:effectLst/>
              <a:latin typeface="Segoe UI Semibold" panose="020B0702040204020203" pitchFamily="34" charset="0"/>
              <a:cs typeface="Segoe UI Semibold" panose="020B0702040204020203" pitchFamily="34" charset="0"/>
            </a:rPr>
            <a:pPr algn="ctr"/>
            <a:t>835</a:t>
          </a:fld>
          <a:endParaRPr lang="en-US" sz="1800" b="1">
            <a:solidFill>
              <a:schemeClr val="tx1"/>
            </a:solidFill>
            <a:latin typeface="Segoe UI Semibold" panose="020B0702040204020203" pitchFamily="34" charset="0"/>
            <a:cs typeface="Segoe UI Semibold" panose="020B0702040204020203" pitchFamily="34" charset="0"/>
          </a:endParaRPr>
        </a:p>
      </xdr:txBody>
    </xdr:sp>
    <xdr:clientData/>
  </xdr:twoCellAnchor>
  <xdr:twoCellAnchor>
    <xdr:from>
      <xdr:col>17</xdr:col>
      <xdr:colOff>66676</xdr:colOff>
      <xdr:row>8</xdr:row>
      <xdr:rowOff>102395</xdr:rowOff>
    </xdr:from>
    <xdr:to>
      <xdr:col>20</xdr:col>
      <xdr:colOff>102395</xdr:colOff>
      <xdr:row>11</xdr:row>
      <xdr:rowOff>7145</xdr:rowOff>
    </xdr:to>
    <xdr:sp macro="" textlink="'Pivot tables'!C16">
      <xdr:nvSpPr>
        <xdr:cNvPr id="38" name="TextBox 37">
          <a:extLst>
            <a:ext uri="{FF2B5EF4-FFF2-40B4-BE49-F238E27FC236}">
              <a16:creationId xmlns:a16="http://schemas.microsoft.com/office/drawing/2014/main" id="{E3D6E1D0-5460-4DBD-834C-F0023C2B6987}"/>
            </a:ext>
          </a:extLst>
        </xdr:cNvPr>
        <xdr:cNvSpPr txBox="1"/>
      </xdr:nvSpPr>
      <xdr:spPr>
        <a:xfrm>
          <a:off x="10389395" y="1626395"/>
          <a:ext cx="1857375" cy="476250"/>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02E159-A366-4ADF-8F2B-E2F506674830}" type="TxLink">
            <a:rPr lang="en-US" sz="1800" b="1" i="0" u="none" strike="noStrike">
              <a:solidFill>
                <a:schemeClr val="tx1"/>
              </a:solidFill>
              <a:effectLst/>
              <a:latin typeface="Segoe UI Semibold" panose="020B0702040204020203" pitchFamily="34" charset="0"/>
              <a:ea typeface="+mn-ea"/>
              <a:cs typeface="Segoe UI Semibold" panose="020B0702040204020203" pitchFamily="34" charset="0"/>
            </a:rPr>
            <a:pPr algn="ctr"/>
            <a:t>42</a:t>
          </a:fld>
          <a:r>
            <a:rPr lang="en-US" sz="1800" b="1" i="0" u="none" strike="noStrike">
              <a:solidFill>
                <a:schemeClr val="tx1"/>
              </a:solidFill>
              <a:effectLst/>
              <a:latin typeface="Segoe UI Semibold" panose="020B0702040204020203" pitchFamily="34" charset="0"/>
              <a:ea typeface="+mn-ea"/>
              <a:cs typeface="Segoe UI Semibold" panose="020B0702040204020203" pitchFamily="34" charset="0"/>
            </a:rPr>
            <a:t> </a:t>
          </a:r>
          <a:endParaRPr lang="en-US" sz="1800" b="1">
            <a:solidFill>
              <a:schemeClr val="tx1"/>
            </a:solidFill>
            <a:latin typeface="Segoe UI Semibold" panose="020B0702040204020203" pitchFamily="34" charset="0"/>
            <a:cs typeface="Segoe UI Semibold" panose="020B0702040204020203" pitchFamily="34" charset="0"/>
          </a:endParaRPr>
        </a:p>
      </xdr:txBody>
    </xdr:sp>
    <xdr:clientData/>
  </xdr:twoCellAnchor>
  <xdr:twoCellAnchor>
    <xdr:from>
      <xdr:col>0</xdr:col>
      <xdr:colOff>321470</xdr:colOff>
      <xdr:row>12</xdr:row>
      <xdr:rowOff>166687</xdr:rowOff>
    </xdr:from>
    <xdr:to>
      <xdr:col>8</xdr:col>
      <xdr:colOff>119063</xdr:colOff>
      <xdr:row>29</xdr:row>
      <xdr:rowOff>178594</xdr:rowOff>
    </xdr:to>
    <xdr:sp macro="" textlink="">
      <xdr:nvSpPr>
        <xdr:cNvPr id="39" name="Rectangle: Rounded Corners 38">
          <a:extLst>
            <a:ext uri="{FF2B5EF4-FFF2-40B4-BE49-F238E27FC236}">
              <a16:creationId xmlns:a16="http://schemas.microsoft.com/office/drawing/2014/main" id="{9F88D1F3-EB95-418D-9547-5C72CCEA8156}"/>
            </a:ext>
          </a:extLst>
        </xdr:cNvPr>
        <xdr:cNvSpPr/>
      </xdr:nvSpPr>
      <xdr:spPr>
        <a:xfrm>
          <a:off x="321470" y="2452687"/>
          <a:ext cx="4655343" cy="3250407"/>
        </a:xfrm>
        <a:prstGeom prst="roundRect">
          <a:avLst>
            <a:gd name="adj" fmla="val 7143"/>
          </a:avLst>
        </a:prstGeom>
        <a:solidFill>
          <a:srgbClr val="035A5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59532</xdr:colOff>
      <xdr:row>13</xdr:row>
      <xdr:rowOff>59531</xdr:rowOff>
    </xdr:from>
    <xdr:to>
      <xdr:col>7</xdr:col>
      <xdr:colOff>488156</xdr:colOff>
      <xdr:row>15</xdr:row>
      <xdr:rowOff>107155</xdr:rowOff>
    </xdr:to>
    <xdr:sp macro="" textlink="">
      <xdr:nvSpPr>
        <xdr:cNvPr id="40" name="Rectangle: Rounded Corners 39">
          <a:extLst>
            <a:ext uri="{FF2B5EF4-FFF2-40B4-BE49-F238E27FC236}">
              <a16:creationId xmlns:a16="http://schemas.microsoft.com/office/drawing/2014/main" id="{75734CFA-C2D5-4D9F-85FF-34CC6214CD01}"/>
            </a:ext>
          </a:extLst>
        </xdr:cNvPr>
        <xdr:cNvSpPr/>
      </xdr:nvSpPr>
      <xdr:spPr>
        <a:xfrm>
          <a:off x="666751" y="2536031"/>
          <a:ext cx="4071936" cy="428624"/>
        </a:xfrm>
        <a:prstGeom prst="roundRect">
          <a:avLst/>
        </a:prstGeom>
        <a:solidFill>
          <a:srgbClr val="035A5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142875</xdr:colOff>
      <xdr:row>12</xdr:row>
      <xdr:rowOff>190499</xdr:rowOff>
    </xdr:from>
    <xdr:to>
      <xdr:col>15</xdr:col>
      <xdr:colOff>547687</xdr:colOff>
      <xdr:row>30</xdr:row>
      <xdr:rowOff>35719</xdr:rowOff>
    </xdr:to>
    <xdr:sp macro="" textlink="">
      <xdr:nvSpPr>
        <xdr:cNvPr id="41" name="Rectangle: Rounded Corners 40">
          <a:extLst>
            <a:ext uri="{FF2B5EF4-FFF2-40B4-BE49-F238E27FC236}">
              <a16:creationId xmlns:a16="http://schemas.microsoft.com/office/drawing/2014/main" id="{B5CCC1C2-9AB9-4FB2-BA9E-6486645B677A}"/>
            </a:ext>
          </a:extLst>
        </xdr:cNvPr>
        <xdr:cNvSpPr/>
      </xdr:nvSpPr>
      <xdr:spPr>
        <a:xfrm>
          <a:off x="5000625" y="2476499"/>
          <a:ext cx="4655343" cy="3274220"/>
        </a:xfrm>
        <a:prstGeom prst="roundRect">
          <a:avLst>
            <a:gd name="adj" fmla="val 9365"/>
          </a:avLst>
        </a:prstGeom>
        <a:solidFill>
          <a:srgbClr val="035A5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583407</xdr:colOff>
      <xdr:row>12</xdr:row>
      <xdr:rowOff>190499</xdr:rowOff>
    </xdr:from>
    <xdr:to>
      <xdr:col>21</xdr:col>
      <xdr:colOff>119062</xdr:colOff>
      <xdr:row>30</xdr:row>
      <xdr:rowOff>11906</xdr:rowOff>
    </xdr:to>
    <xdr:sp macro="" textlink="">
      <xdr:nvSpPr>
        <xdr:cNvPr id="42" name="Rectangle: Rounded Corners 41">
          <a:extLst>
            <a:ext uri="{FF2B5EF4-FFF2-40B4-BE49-F238E27FC236}">
              <a16:creationId xmlns:a16="http://schemas.microsoft.com/office/drawing/2014/main" id="{7DEEAF04-ACC8-4674-85D7-8DD559CA4CDC}"/>
            </a:ext>
          </a:extLst>
        </xdr:cNvPr>
        <xdr:cNvSpPr/>
      </xdr:nvSpPr>
      <xdr:spPr>
        <a:xfrm>
          <a:off x="9691688" y="2476499"/>
          <a:ext cx="3178968" cy="3250407"/>
        </a:xfrm>
        <a:prstGeom prst="roundRect">
          <a:avLst>
            <a:gd name="adj" fmla="val 12173"/>
          </a:avLst>
        </a:prstGeom>
        <a:solidFill>
          <a:srgbClr val="035A5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392906</xdr:colOff>
      <xdr:row>13</xdr:row>
      <xdr:rowOff>107156</xdr:rowOff>
    </xdr:from>
    <xdr:to>
      <xdr:col>15</xdr:col>
      <xdr:colOff>47625</xdr:colOff>
      <xdr:row>15</xdr:row>
      <xdr:rowOff>154780</xdr:rowOff>
    </xdr:to>
    <xdr:sp macro="" textlink="">
      <xdr:nvSpPr>
        <xdr:cNvPr id="43" name="Rectangle: Rounded Corners 42">
          <a:extLst>
            <a:ext uri="{FF2B5EF4-FFF2-40B4-BE49-F238E27FC236}">
              <a16:creationId xmlns:a16="http://schemas.microsoft.com/office/drawing/2014/main" id="{A87571CD-1572-4F83-96E1-F2A4DC8F324E}"/>
            </a:ext>
          </a:extLst>
        </xdr:cNvPr>
        <xdr:cNvSpPr/>
      </xdr:nvSpPr>
      <xdr:spPr>
        <a:xfrm>
          <a:off x="5250656" y="2583656"/>
          <a:ext cx="3905250" cy="428624"/>
        </a:xfrm>
        <a:prstGeom prst="roundRect">
          <a:avLst/>
        </a:prstGeom>
        <a:solidFill>
          <a:srgbClr val="035A5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273844</xdr:colOff>
      <xdr:row>13</xdr:row>
      <xdr:rowOff>154780</xdr:rowOff>
    </xdr:from>
    <xdr:to>
      <xdr:col>20</xdr:col>
      <xdr:colOff>404812</xdr:colOff>
      <xdr:row>16</xdr:row>
      <xdr:rowOff>11904</xdr:rowOff>
    </xdr:to>
    <xdr:sp macro="" textlink="">
      <xdr:nvSpPr>
        <xdr:cNvPr id="44" name="Rectangle: Rounded Corners 43">
          <a:extLst>
            <a:ext uri="{FF2B5EF4-FFF2-40B4-BE49-F238E27FC236}">
              <a16:creationId xmlns:a16="http://schemas.microsoft.com/office/drawing/2014/main" id="{4F407723-5FC1-49FA-B62F-81A523B639CA}"/>
            </a:ext>
          </a:extLst>
        </xdr:cNvPr>
        <xdr:cNvSpPr/>
      </xdr:nvSpPr>
      <xdr:spPr>
        <a:xfrm>
          <a:off x="9989344" y="2631280"/>
          <a:ext cx="2559843" cy="428624"/>
        </a:xfrm>
        <a:prstGeom prst="roundRect">
          <a:avLst/>
        </a:prstGeom>
        <a:solidFill>
          <a:srgbClr val="035A5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130968</xdr:colOff>
      <xdr:row>13</xdr:row>
      <xdr:rowOff>107156</xdr:rowOff>
    </xdr:from>
    <xdr:to>
      <xdr:col>7</xdr:col>
      <xdr:colOff>488156</xdr:colOff>
      <xdr:row>15</xdr:row>
      <xdr:rowOff>35719</xdr:rowOff>
    </xdr:to>
    <xdr:sp macro="" textlink="">
      <xdr:nvSpPr>
        <xdr:cNvPr id="46" name="TextBox 45">
          <a:extLst>
            <a:ext uri="{FF2B5EF4-FFF2-40B4-BE49-F238E27FC236}">
              <a16:creationId xmlns:a16="http://schemas.microsoft.com/office/drawing/2014/main" id="{EA0D6865-806F-C1C3-0F74-7F6F2F60D173}"/>
            </a:ext>
          </a:extLst>
        </xdr:cNvPr>
        <xdr:cNvSpPr txBox="1"/>
      </xdr:nvSpPr>
      <xdr:spPr>
        <a:xfrm>
          <a:off x="738187" y="2583656"/>
          <a:ext cx="4000500" cy="309563"/>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latin typeface="Segoe UI Semibold" panose="020B0702040204020203" pitchFamily="34" charset="0"/>
              <a:cs typeface="Segoe UI Semibold" panose="020B0702040204020203" pitchFamily="34" charset="0"/>
            </a:rPr>
            <a:t>Workforce Distribution &amp; Salary Structure</a:t>
          </a:r>
        </a:p>
      </xdr:txBody>
    </xdr:sp>
    <xdr:clientData/>
  </xdr:twoCellAnchor>
  <xdr:twoCellAnchor>
    <xdr:from>
      <xdr:col>8</xdr:col>
      <xdr:colOff>273844</xdr:colOff>
      <xdr:row>15</xdr:row>
      <xdr:rowOff>190498</xdr:rowOff>
    </xdr:from>
    <xdr:to>
      <xdr:col>15</xdr:col>
      <xdr:colOff>404813</xdr:colOff>
      <xdr:row>28</xdr:row>
      <xdr:rowOff>166687</xdr:rowOff>
    </xdr:to>
    <xdr:graphicFrame macro="">
      <xdr:nvGraphicFramePr>
        <xdr:cNvPr id="47" name="Chart 46">
          <a:extLst>
            <a:ext uri="{FF2B5EF4-FFF2-40B4-BE49-F238E27FC236}">
              <a16:creationId xmlns:a16="http://schemas.microsoft.com/office/drawing/2014/main" id="{2AA62914-AA9B-46A7-BB06-A5A15C2BF6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523874</xdr:colOff>
      <xdr:row>13</xdr:row>
      <xdr:rowOff>154781</xdr:rowOff>
    </xdr:from>
    <xdr:to>
      <xdr:col>14</xdr:col>
      <xdr:colOff>571498</xdr:colOff>
      <xdr:row>15</xdr:row>
      <xdr:rowOff>83344</xdr:rowOff>
    </xdr:to>
    <xdr:sp macro="" textlink="">
      <xdr:nvSpPr>
        <xdr:cNvPr id="48" name="TextBox 47">
          <a:extLst>
            <a:ext uri="{FF2B5EF4-FFF2-40B4-BE49-F238E27FC236}">
              <a16:creationId xmlns:a16="http://schemas.microsoft.com/office/drawing/2014/main" id="{7A290DE6-05A9-B5E1-7FDD-CBF321718F76}"/>
            </a:ext>
          </a:extLst>
        </xdr:cNvPr>
        <xdr:cNvSpPr txBox="1"/>
      </xdr:nvSpPr>
      <xdr:spPr>
        <a:xfrm>
          <a:off x="5381624" y="2631281"/>
          <a:ext cx="3690937" cy="309563"/>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latin typeface="Segoe UI Semibold" panose="020B0702040204020203" pitchFamily="34" charset="0"/>
              <a:cs typeface="Segoe UI Semibold" panose="020B0702040204020203" pitchFamily="34" charset="0"/>
            </a:rPr>
            <a:t>Average Salary by Department</a:t>
          </a:r>
        </a:p>
      </xdr:txBody>
    </xdr:sp>
    <xdr:clientData/>
  </xdr:twoCellAnchor>
  <xdr:twoCellAnchor>
    <xdr:from>
      <xdr:col>0</xdr:col>
      <xdr:colOff>309563</xdr:colOff>
      <xdr:row>30</xdr:row>
      <xdr:rowOff>23812</xdr:rowOff>
    </xdr:from>
    <xdr:to>
      <xdr:col>8</xdr:col>
      <xdr:colOff>95250</xdr:colOff>
      <xdr:row>47</xdr:row>
      <xdr:rowOff>11907</xdr:rowOff>
    </xdr:to>
    <xdr:sp macro="" textlink="">
      <xdr:nvSpPr>
        <xdr:cNvPr id="49" name="Rectangle: Rounded Corners 48">
          <a:extLst>
            <a:ext uri="{FF2B5EF4-FFF2-40B4-BE49-F238E27FC236}">
              <a16:creationId xmlns:a16="http://schemas.microsoft.com/office/drawing/2014/main" id="{9C6B1E63-69EB-40D4-988F-2D8F15F45D68}"/>
            </a:ext>
          </a:extLst>
        </xdr:cNvPr>
        <xdr:cNvSpPr/>
      </xdr:nvSpPr>
      <xdr:spPr>
        <a:xfrm>
          <a:off x="309563" y="5738812"/>
          <a:ext cx="4643437" cy="3226595"/>
        </a:xfrm>
        <a:prstGeom prst="roundRect">
          <a:avLst>
            <a:gd name="adj" fmla="val 6456"/>
          </a:avLst>
        </a:prstGeom>
        <a:solidFill>
          <a:srgbClr val="035A5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535782</xdr:colOff>
      <xdr:row>30</xdr:row>
      <xdr:rowOff>83344</xdr:rowOff>
    </xdr:from>
    <xdr:to>
      <xdr:col>21</xdr:col>
      <xdr:colOff>95250</xdr:colOff>
      <xdr:row>47</xdr:row>
      <xdr:rowOff>35719</xdr:rowOff>
    </xdr:to>
    <xdr:sp macro="" textlink="">
      <xdr:nvSpPr>
        <xdr:cNvPr id="51" name="Rectangle: Rounded Corners 50">
          <a:extLst>
            <a:ext uri="{FF2B5EF4-FFF2-40B4-BE49-F238E27FC236}">
              <a16:creationId xmlns:a16="http://schemas.microsoft.com/office/drawing/2014/main" id="{C10A7A3D-3E25-4380-B589-C42292E67366}"/>
            </a:ext>
          </a:extLst>
        </xdr:cNvPr>
        <xdr:cNvSpPr/>
      </xdr:nvSpPr>
      <xdr:spPr>
        <a:xfrm>
          <a:off x="9644063" y="5798344"/>
          <a:ext cx="3202781" cy="3190875"/>
        </a:xfrm>
        <a:prstGeom prst="roundRect">
          <a:avLst>
            <a:gd name="adj" fmla="val 7288"/>
          </a:avLst>
        </a:prstGeom>
        <a:solidFill>
          <a:srgbClr val="035A5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523875</xdr:colOff>
      <xdr:row>30</xdr:row>
      <xdr:rowOff>83342</xdr:rowOff>
    </xdr:from>
    <xdr:to>
      <xdr:col>7</xdr:col>
      <xdr:colOff>511969</xdr:colOff>
      <xdr:row>32</xdr:row>
      <xdr:rowOff>130966</xdr:rowOff>
    </xdr:to>
    <xdr:sp macro="" textlink="">
      <xdr:nvSpPr>
        <xdr:cNvPr id="52" name="Rectangle: Rounded Corners 51">
          <a:extLst>
            <a:ext uri="{FF2B5EF4-FFF2-40B4-BE49-F238E27FC236}">
              <a16:creationId xmlns:a16="http://schemas.microsoft.com/office/drawing/2014/main" id="{AEEF72F5-3FE1-4F12-90B1-127D7DC17A87}"/>
            </a:ext>
          </a:extLst>
        </xdr:cNvPr>
        <xdr:cNvSpPr/>
      </xdr:nvSpPr>
      <xdr:spPr>
        <a:xfrm>
          <a:off x="523875" y="5798342"/>
          <a:ext cx="4238625" cy="428624"/>
        </a:xfrm>
        <a:prstGeom prst="roundRect">
          <a:avLst/>
        </a:prstGeom>
        <a:solidFill>
          <a:srgbClr val="035A5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95249</xdr:colOff>
      <xdr:row>30</xdr:row>
      <xdr:rowOff>166688</xdr:rowOff>
    </xdr:from>
    <xdr:to>
      <xdr:col>21</xdr:col>
      <xdr:colOff>0</xdr:colOff>
      <xdr:row>33</xdr:row>
      <xdr:rowOff>23812</xdr:rowOff>
    </xdr:to>
    <xdr:sp macro="" textlink="">
      <xdr:nvSpPr>
        <xdr:cNvPr id="54" name="Rectangle: Rounded Corners 53">
          <a:extLst>
            <a:ext uri="{FF2B5EF4-FFF2-40B4-BE49-F238E27FC236}">
              <a16:creationId xmlns:a16="http://schemas.microsoft.com/office/drawing/2014/main" id="{22CDC3A6-6CD4-4F43-A98F-3C8196F50445}"/>
            </a:ext>
          </a:extLst>
        </xdr:cNvPr>
        <xdr:cNvSpPr/>
      </xdr:nvSpPr>
      <xdr:spPr>
        <a:xfrm>
          <a:off x="9810749" y="5881688"/>
          <a:ext cx="2940845" cy="428624"/>
        </a:xfrm>
        <a:prstGeom prst="roundRect">
          <a:avLst/>
        </a:prstGeom>
        <a:solidFill>
          <a:srgbClr val="035A5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261937</xdr:colOff>
      <xdr:row>6</xdr:row>
      <xdr:rowOff>71437</xdr:rowOff>
    </xdr:from>
    <xdr:to>
      <xdr:col>24</xdr:col>
      <xdr:colOff>202407</xdr:colOff>
      <xdr:row>8</xdr:row>
      <xdr:rowOff>119061</xdr:rowOff>
    </xdr:to>
    <xdr:sp macro="" textlink="">
      <xdr:nvSpPr>
        <xdr:cNvPr id="55" name="Rectangle: Rounded Corners 54">
          <a:extLst>
            <a:ext uri="{FF2B5EF4-FFF2-40B4-BE49-F238E27FC236}">
              <a16:creationId xmlns:a16="http://schemas.microsoft.com/office/drawing/2014/main" id="{1E34166C-6550-472C-9F55-E3E2B8316B52}"/>
            </a:ext>
          </a:extLst>
        </xdr:cNvPr>
        <xdr:cNvSpPr/>
      </xdr:nvSpPr>
      <xdr:spPr>
        <a:xfrm>
          <a:off x="13013531" y="1214437"/>
          <a:ext cx="1762126" cy="428624"/>
        </a:xfrm>
        <a:prstGeom prst="roundRect">
          <a:avLst/>
        </a:prstGeom>
        <a:solidFill>
          <a:srgbClr val="035A5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95250</xdr:colOff>
      <xdr:row>16</xdr:row>
      <xdr:rowOff>95251</xdr:rowOff>
    </xdr:from>
    <xdr:to>
      <xdr:col>21</xdr:col>
      <xdr:colOff>0</xdr:colOff>
      <xdr:row>28</xdr:row>
      <xdr:rowOff>119063</xdr:rowOff>
    </xdr:to>
    <xdr:graphicFrame macro="">
      <xdr:nvGraphicFramePr>
        <xdr:cNvPr id="56" name="Chart 55">
          <a:extLst>
            <a:ext uri="{FF2B5EF4-FFF2-40B4-BE49-F238E27FC236}">
              <a16:creationId xmlns:a16="http://schemas.microsoft.com/office/drawing/2014/main" id="{3E2EC933-D136-48D1-AD62-CE550081B8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273844</xdr:colOff>
      <xdr:row>13</xdr:row>
      <xdr:rowOff>154780</xdr:rowOff>
    </xdr:from>
    <xdr:to>
      <xdr:col>20</xdr:col>
      <xdr:colOff>357187</xdr:colOff>
      <xdr:row>16</xdr:row>
      <xdr:rowOff>52713</xdr:rowOff>
    </xdr:to>
    <xdr:pic>
      <xdr:nvPicPr>
        <xdr:cNvPr id="57" name="Picture 56">
          <a:extLst>
            <a:ext uri="{FF2B5EF4-FFF2-40B4-BE49-F238E27FC236}">
              <a16:creationId xmlns:a16="http://schemas.microsoft.com/office/drawing/2014/main" id="{B94ABF5C-0E9C-6FE4-8D6B-98ECC673EFA5}"/>
            </a:ext>
          </a:extLst>
        </xdr:cNvPr>
        <xdr:cNvPicPr>
          <a:picLocks noChangeAspect="1"/>
        </xdr:cNvPicPr>
      </xdr:nvPicPr>
      <xdr:blipFill>
        <a:blip xmlns:r="http://schemas.openxmlformats.org/officeDocument/2006/relationships" r:embed="rId5"/>
        <a:stretch>
          <a:fillRect/>
        </a:stretch>
      </xdr:blipFill>
      <xdr:spPr>
        <a:xfrm>
          <a:off x="9989344" y="2631280"/>
          <a:ext cx="2512218" cy="469433"/>
        </a:xfrm>
        <a:prstGeom prst="rect">
          <a:avLst/>
        </a:prstGeom>
      </xdr:spPr>
    </xdr:pic>
    <xdr:clientData/>
  </xdr:twoCellAnchor>
  <xdr:twoCellAnchor>
    <xdr:from>
      <xdr:col>0</xdr:col>
      <xdr:colOff>428625</xdr:colOff>
      <xdr:row>16</xdr:row>
      <xdr:rowOff>23812</xdr:rowOff>
    </xdr:from>
    <xdr:to>
      <xdr:col>7</xdr:col>
      <xdr:colOff>547688</xdr:colOff>
      <xdr:row>28</xdr:row>
      <xdr:rowOff>119062</xdr:rowOff>
    </xdr:to>
    <xdr:graphicFrame macro="">
      <xdr:nvGraphicFramePr>
        <xdr:cNvPr id="58" name="Chart 57">
          <a:extLst>
            <a:ext uri="{FF2B5EF4-FFF2-40B4-BE49-F238E27FC236}">
              <a16:creationId xmlns:a16="http://schemas.microsoft.com/office/drawing/2014/main" id="{187A6D69-703A-4E87-9B6D-D30F5C06D8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23813</xdr:colOff>
      <xdr:row>33</xdr:row>
      <xdr:rowOff>119062</xdr:rowOff>
    </xdr:from>
    <xdr:to>
      <xdr:col>21</xdr:col>
      <xdr:colOff>1</xdr:colOff>
      <xdr:row>46</xdr:row>
      <xdr:rowOff>142874</xdr:rowOff>
    </xdr:to>
    <xdr:graphicFrame macro="">
      <xdr:nvGraphicFramePr>
        <xdr:cNvPr id="60" name="Chart 59">
          <a:extLst>
            <a:ext uri="{FF2B5EF4-FFF2-40B4-BE49-F238E27FC236}">
              <a16:creationId xmlns:a16="http://schemas.microsoft.com/office/drawing/2014/main" id="{1797606D-A22E-4F60-908B-0739509C01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83344</xdr:colOff>
      <xdr:row>30</xdr:row>
      <xdr:rowOff>130970</xdr:rowOff>
    </xdr:from>
    <xdr:to>
      <xdr:col>7</xdr:col>
      <xdr:colOff>583406</xdr:colOff>
      <xdr:row>32</xdr:row>
      <xdr:rowOff>83344</xdr:rowOff>
    </xdr:to>
    <xdr:sp macro="" textlink="">
      <xdr:nvSpPr>
        <xdr:cNvPr id="61" name="TextBox 60">
          <a:extLst>
            <a:ext uri="{FF2B5EF4-FFF2-40B4-BE49-F238E27FC236}">
              <a16:creationId xmlns:a16="http://schemas.microsoft.com/office/drawing/2014/main" id="{81063FEA-D962-ACF2-3E27-59ADE9909636}"/>
            </a:ext>
          </a:extLst>
        </xdr:cNvPr>
        <xdr:cNvSpPr txBox="1"/>
      </xdr:nvSpPr>
      <xdr:spPr>
        <a:xfrm>
          <a:off x="690563" y="5845970"/>
          <a:ext cx="4143374" cy="333374"/>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latin typeface="Segoe UI Semibold" panose="020B0702040204020203" pitchFamily="34" charset="0"/>
              <a:cs typeface="Segoe UI Semibold" panose="020B0702040204020203" pitchFamily="34" charset="0"/>
            </a:rPr>
            <a:t>Functional Performance Distribution</a:t>
          </a:r>
          <a:endParaRPr lang="en-US" sz="1600" b="1">
            <a:solidFill>
              <a:schemeClr val="tx1"/>
            </a:solidFill>
            <a:latin typeface="Segoe UI Semibold" panose="020B0702040204020203" pitchFamily="34" charset="0"/>
            <a:cs typeface="Segoe UI Semibold" panose="020B0702040204020203" pitchFamily="34" charset="0"/>
          </a:endParaRPr>
        </a:p>
      </xdr:txBody>
    </xdr:sp>
    <xdr:clientData/>
  </xdr:twoCellAnchor>
  <xdr:twoCellAnchor>
    <xdr:from>
      <xdr:col>16</xdr:col>
      <xdr:colOff>273844</xdr:colOff>
      <xdr:row>30</xdr:row>
      <xdr:rowOff>178594</xdr:rowOff>
    </xdr:from>
    <xdr:to>
      <xdr:col>20</xdr:col>
      <xdr:colOff>464345</xdr:colOff>
      <xdr:row>32</xdr:row>
      <xdr:rowOff>119062</xdr:rowOff>
    </xdr:to>
    <xdr:sp macro="" textlink="">
      <xdr:nvSpPr>
        <xdr:cNvPr id="62" name="TextBox 61">
          <a:extLst>
            <a:ext uri="{FF2B5EF4-FFF2-40B4-BE49-F238E27FC236}">
              <a16:creationId xmlns:a16="http://schemas.microsoft.com/office/drawing/2014/main" id="{14B02589-AD3F-678A-724C-4DACF6D3A1F8}"/>
            </a:ext>
          </a:extLst>
        </xdr:cNvPr>
        <xdr:cNvSpPr txBox="1"/>
      </xdr:nvSpPr>
      <xdr:spPr>
        <a:xfrm>
          <a:off x="9989344" y="5893594"/>
          <a:ext cx="2619376" cy="321468"/>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atin typeface="Segoe UI Semibold" panose="020B0702040204020203" pitchFamily="34" charset="0"/>
              <a:cs typeface="Segoe UI Semibold" panose="020B0702040204020203" pitchFamily="34" charset="0"/>
            </a:rPr>
            <a:t>Gender Pay Gap Snapshot</a:t>
          </a:r>
          <a:endParaRPr lang="en-US" sz="1400" b="1">
            <a:solidFill>
              <a:schemeClr val="tx1"/>
            </a:solidFill>
            <a:latin typeface="Segoe UI Semibold" panose="020B0702040204020203" pitchFamily="34" charset="0"/>
            <a:cs typeface="Segoe UI Semibold" panose="020B0702040204020203" pitchFamily="34" charset="0"/>
          </a:endParaRPr>
        </a:p>
      </xdr:txBody>
    </xdr:sp>
    <xdr:clientData/>
  </xdr:twoCellAnchor>
  <xdr:twoCellAnchor>
    <xdr:from>
      <xdr:col>0</xdr:col>
      <xdr:colOff>416718</xdr:colOff>
      <xdr:row>32</xdr:row>
      <xdr:rowOff>190498</xdr:rowOff>
    </xdr:from>
    <xdr:to>
      <xdr:col>8</xdr:col>
      <xdr:colOff>83343</xdr:colOff>
      <xdr:row>46</xdr:row>
      <xdr:rowOff>119061</xdr:rowOff>
    </xdr:to>
    <xdr:graphicFrame macro="">
      <xdr:nvGraphicFramePr>
        <xdr:cNvPr id="64" name="Chart 63">
          <a:extLst>
            <a:ext uri="{FF2B5EF4-FFF2-40B4-BE49-F238E27FC236}">
              <a16:creationId xmlns:a16="http://schemas.microsoft.com/office/drawing/2014/main" id="{2039FD75-B847-4631-92CC-BDB2E73487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130969</xdr:colOff>
      <xdr:row>30</xdr:row>
      <xdr:rowOff>83344</xdr:rowOff>
    </xdr:from>
    <xdr:to>
      <xdr:col>15</xdr:col>
      <xdr:colOff>511969</xdr:colOff>
      <xdr:row>47</xdr:row>
      <xdr:rowOff>23814</xdr:rowOff>
    </xdr:to>
    <xdr:sp macro="" textlink="">
      <xdr:nvSpPr>
        <xdr:cNvPr id="65" name="Rectangle: Rounded Corners 64">
          <a:extLst>
            <a:ext uri="{FF2B5EF4-FFF2-40B4-BE49-F238E27FC236}">
              <a16:creationId xmlns:a16="http://schemas.microsoft.com/office/drawing/2014/main" id="{537F7F5D-36E1-4D5D-B4B5-0175E8CF19C7}"/>
            </a:ext>
          </a:extLst>
        </xdr:cNvPr>
        <xdr:cNvSpPr/>
      </xdr:nvSpPr>
      <xdr:spPr>
        <a:xfrm>
          <a:off x="4988719" y="5798344"/>
          <a:ext cx="4631531" cy="3178970"/>
        </a:xfrm>
        <a:prstGeom prst="roundRect">
          <a:avLst>
            <a:gd name="adj" fmla="val 5349"/>
          </a:avLst>
        </a:prstGeom>
        <a:solidFill>
          <a:srgbClr val="035A52"/>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321470</xdr:colOff>
      <xdr:row>30</xdr:row>
      <xdr:rowOff>166686</xdr:rowOff>
    </xdr:from>
    <xdr:to>
      <xdr:col>15</xdr:col>
      <xdr:colOff>178595</xdr:colOff>
      <xdr:row>33</xdr:row>
      <xdr:rowOff>23810</xdr:rowOff>
    </xdr:to>
    <xdr:sp macro="" textlink="">
      <xdr:nvSpPr>
        <xdr:cNvPr id="66" name="Rectangle: Rounded Corners 65">
          <a:extLst>
            <a:ext uri="{FF2B5EF4-FFF2-40B4-BE49-F238E27FC236}">
              <a16:creationId xmlns:a16="http://schemas.microsoft.com/office/drawing/2014/main" id="{B35FC676-2517-4CA9-B379-B2BB0C6ED938}"/>
            </a:ext>
          </a:extLst>
        </xdr:cNvPr>
        <xdr:cNvSpPr/>
      </xdr:nvSpPr>
      <xdr:spPr>
        <a:xfrm>
          <a:off x="5179220" y="5881686"/>
          <a:ext cx="4107656" cy="428624"/>
        </a:xfrm>
        <a:prstGeom prst="roundRect">
          <a:avLst/>
        </a:prstGeom>
        <a:solidFill>
          <a:srgbClr val="035A5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416719</xdr:colOff>
      <xdr:row>33</xdr:row>
      <xdr:rowOff>107155</xdr:rowOff>
    </xdr:from>
    <xdr:to>
      <xdr:col>15</xdr:col>
      <xdr:colOff>345282</xdr:colOff>
      <xdr:row>47</xdr:row>
      <xdr:rowOff>11907</xdr:rowOff>
    </xdr:to>
    <xdr:graphicFrame macro="">
      <xdr:nvGraphicFramePr>
        <xdr:cNvPr id="68" name="Chart 67">
          <a:extLst>
            <a:ext uri="{FF2B5EF4-FFF2-40B4-BE49-F238E27FC236}">
              <a16:creationId xmlns:a16="http://schemas.microsoft.com/office/drawing/2014/main" id="{CB6E9653-5076-45D8-B03A-D6DA04A3D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59531</xdr:colOff>
      <xdr:row>30</xdr:row>
      <xdr:rowOff>154782</xdr:rowOff>
    </xdr:from>
    <xdr:to>
      <xdr:col>15</xdr:col>
      <xdr:colOff>47625</xdr:colOff>
      <xdr:row>32</xdr:row>
      <xdr:rowOff>178594</xdr:rowOff>
    </xdr:to>
    <xdr:sp macro="" textlink="">
      <xdr:nvSpPr>
        <xdr:cNvPr id="69" name="TextBox 68">
          <a:extLst>
            <a:ext uri="{FF2B5EF4-FFF2-40B4-BE49-F238E27FC236}">
              <a16:creationId xmlns:a16="http://schemas.microsoft.com/office/drawing/2014/main" id="{574C642C-EB71-9F6B-F194-97BCBDFA96EB}"/>
            </a:ext>
          </a:extLst>
        </xdr:cNvPr>
        <xdr:cNvSpPr txBox="1"/>
      </xdr:nvSpPr>
      <xdr:spPr>
        <a:xfrm>
          <a:off x="5524500" y="5869782"/>
          <a:ext cx="3631406" cy="404812"/>
        </a:xfrm>
        <a:prstGeom prst="rect">
          <a:avLst/>
        </a:prstGeom>
        <a:solidFill>
          <a:srgbClr val="035A5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1"/>
              </a:solidFill>
              <a:latin typeface="Segoe UI Semibold" panose="020B0702040204020203" pitchFamily="34" charset="0"/>
              <a:cs typeface="Segoe UI Semibold" panose="020B0702040204020203" pitchFamily="34" charset="0"/>
            </a:rPr>
            <a:t>Workforce Age Composition</a:t>
          </a:r>
        </a:p>
      </xdr:txBody>
    </xdr:sp>
    <xdr:clientData/>
  </xdr:twoCellAnchor>
  <xdr:twoCellAnchor>
    <xdr:from>
      <xdr:col>21</xdr:col>
      <xdr:colOff>261936</xdr:colOff>
      <xdr:row>6</xdr:row>
      <xdr:rowOff>130970</xdr:rowOff>
    </xdr:from>
    <xdr:to>
      <xdr:col>24</xdr:col>
      <xdr:colOff>190499</xdr:colOff>
      <xdr:row>8</xdr:row>
      <xdr:rowOff>47626</xdr:rowOff>
    </xdr:to>
    <xdr:sp macro="" textlink="">
      <xdr:nvSpPr>
        <xdr:cNvPr id="70" name="TextBox 69">
          <a:extLst>
            <a:ext uri="{FF2B5EF4-FFF2-40B4-BE49-F238E27FC236}">
              <a16:creationId xmlns:a16="http://schemas.microsoft.com/office/drawing/2014/main" id="{45E76CA3-C912-861B-5C84-9C92567EC772}"/>
            </a:ext>
          </a:extLst>
        </xdr:cNvPr>
        <xdr:cNvSpPr txBox="1"/>
      </xdr:nvSpPr>
      <xdr:spPr>
        <a:xfrm>
          <a:off x="13013530" y="1273970"/>
          <a:ext cx="1750219" cy="297656"/>
        </a:xfrm>
        <a:prstGeom prst="rect">
          <a:avLst/>
        </a:prstGeom>
        <a:solidFill>
          <a:srgbClr val="035A52"/>
        </a:solidFill>
        <a:ln w="9525" cmpd="sng">
          <a:solidFill>
            <a:srgbClr val="035A5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1"/>
              </a:solidFill>
              <a:latin typeface="Segoe UI Semibold" panose="020B0702040204020203" pitchFamily="34" charset="0"/>
              <a:cs typeface="Segoe UI Semibold" panose="020B0702040204020203" pitchFamily="34" charset="0"/>
            </a:rPr>
            <a:t>Filter</a:t>
          </a:r>
        </a:p>
      </xdr:txBody>
    </xdr:sp>
    <xdr:clientData/>
  </xdr:twoCellAnchor>
  <xdr:twoCellAnchor editAs="oneCell">
    <xdr:from>
      <xdr:col>21</xdr:col>
      <xdr:colOff>392906</xdr:colOff>
      <xdr:row>6</xdr:row>
      <xdr:rowOff>107159</xdr:rowOff>
    </xdr:from>
    <xdr:to>
      <xdr:col>22</xdr:col>
      <xdr:colOff>321469</xdr:colOff>
      <xdr:row>8</xdr:row>
      <xdr:rowOff>178595</xdr:rowOff>
    </xdr:to>
    <xdr:pic>
      <xdr:nvPicPr>
        <xdr:cNvPr id="72" name="Graphic 71" descr="Filter with solid fill">
          <a:extLst>
            <a:ext uri="{FF2B5EF4-FFF2-40B4-BE49-F238E27FC236}">
              <a16:creationId xmlns:a16="http://schemas.microsoft.com/office/drawing/2014/main" id="{6A53BB7A-3767-2290-6F10-2DC551CF64B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3144500" y="1250159"/>
          <a:ext cx="535782" cy="452436"/>
        </a:xfrm>
        <a:prstGeom prst="rect">
          <a:avLst/>
        </a:prstGeom>
      </xdr:spPr>
    </xdr:pic>
    <xdr:clientData/>
  </xdr:twoCellAnchor>
  <xdr:twoCellAnchor editAs="oneCell">
    <xdr:from>
      <xdr:col>21</xdr:col>
      <xdr:colOff>238127</xdr:colOff>
      <xdr:row>8</xdr:row>
      <xdr:rowOff>166688</xdr:rowOff>
    </xdr:from>
    <xdr:to>
      <xdr:col>24</xdr:col>
      <xdr:colOff>245271</xdr:colOff>
      <xdr:row>13</xdr:row>
      <xdr:rowOff>142876</xdr:rowOff>
    </xdr:to>
    <mc:AlternateContent xmlns:mc="http://schemas.openxmlformats.org/markup-compatibility/2006" xmlns:a14="http://schemas.microsoft.com/office/drawing/2010/main">
      <mc:Choice Requires="a14">
        <xdr:graphicFrame macro="">
          <xdr:nvGraphicFramePr>
            <xdr:cNvPr id="73" name="Gender 1">
              <a:extLst>
                <a:ext uri="{FF2B5EF4-FFF2-40B4-BE49-F238E27FC236}">
                  <a16:creationId xmlns:a16="http://schemas.microsoft.com/office/drawing/2014/main" id="{371465D6-3F5A-42FE-BAC8-6B87980C924C}"/>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2989721" y="1690688"/>
              <a:ext cx="1828800" cy="9286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238125</xdr:colOff>
      <xdr:row>20</xdr:row>
      <xdr:rowOff>83342</xdr:rowOff>
    </xdr:from>
    <xdr:to>
      <xdr:col>24</xdr:col>
      <xdr:colOff>245269</xdr:colOff>
      <xdr:row>32</xdr:row>
      <xdr:rowOff>166688</xdr:rowOff>
    </xdr:to>
    <mc:AlternateContent xmlns:mc="http://schemas.openxmlformats.org/markup-compatibility/2006" xmlns:a14="http://schemas.microsoft.com/office/drawing/2010/main">
      <mc:Choice Requires="a14">
        <xdr:graphicFrame macro="">
          <xdr:nvGraphicFramePr>
            <xdr:cNvPr id="74" name="Department 1">
              <a:extLst>
                <a:ext uri="{FF2B5EF4-FFF2-40B4-BE49-F238E27FC236}">
                  <a16:creationId xmlns:a16="http://schemas.microsoft.com/office/drawing/2014/main" id="{96E5F738-A6DC-4D28-BA84-EB01AD09E340}"/>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2989719" y="3893342"/>
              <a:ext cx="1828800" cy="23693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238125</xdr:colOff>
      <xdr:row>13</xdr:row>
      <xdr:rowOff>178594</xdr:rowOff>
    </xdr:from>
    <xdr:to>
      <xdr:col>24</xdr:col>
      <xdr:colOff>245269</xdr:colOff>
      <xdr:row>20</xdr:row>
      <xdr:rowOff>47625</xdr:rowOff>
    </xdr:to>
    <mc:AlternateContent xmlns:mc="http://schemas.openxmlformats.org/markup-compatibility/2006" xmlns:a14="http://schemas.microsoft.com/office/drawing/2010/main">
      <mc:Choice Requires="a14">
        <xdr:graphicFrame macro="">
          <xdr:nvGraphicFramePr>
            <xdr:cNvPr id="75" name="Performance 1">
              <a:extLst>
                <a:ext uri="{FF2B5EF4-FFF2-40B4-BE49-F238E27FC236}">
                  <a16:creationId xmlns:a16="http://schemas.microsoft.com/office/drawing/2014/main" id="{B6BD77F3-ED7C-4BD6-9E0F-BA113FF5B82C}"/>
                </a:ext>
              </a:extLst>
            </xdr:cNvPr>
            <xdr:cNvGraphicFramePr/>
          </xdr:nvGraphicFramePr>
          <xdr:xfrm>
            <a:off x="0" y="0"/>
            <a:ext cx="0" cy="0"/>
          </xdr:xfrm>
          <a:graphic>
            <a:graphicData uri="http://schemas.microsoft.com/office/drawing/2010/slicer">
              <sle:slicer xmlns:sle="http://schemas.microsoft.com/office/drawing/2010/slicer" name="Performance 1"/>
            </a:graphicData>
          </a:graphic>
        </xdr:graphicFrame>
      </mc:Choice>
      <mc:Fallback xmlns="">
        <xdr:sp macro="" textlink="">
          <xdr:nvSpPr>
            <xdr:cNvPr id="0" name=""/>
            <xdr:cNvSpPr>
              <a:spLocks noTextEdit="1"/>
            </xdr:cNvSpPr>
          </xdr:nvSpPr>
          <xdr:spPr>
            <a:xfrm>
              <a:off x="12989719" y="2655094"/>
              <a:ext cx="1828800" cy="12025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noch Tawiah Acquaye" refreshedDate="45959.845519328701" createdVersion="8" refreshedVersion="8" minRefreshableVersion="3" recordCount="835" xr:uid="{E9F2733C-6D42-4968-8C7C-A0FFEAF84C2C}">
  <cacheSource type="worksheet">
    <worksheetSource name="Table1"/>
  </cacheSource>
  <cacheFields count="15">
    <cacheField name="ID" numFmtId="0">
      <sharedItems containsSemiMixedTypes="0" containsString="0" containsNumber="1" containsInteger="1" minValue="700" maxValue="22696"/>
    </cacheField>
    <cacheField name="Name" numFmtId="0">
      <sharedItems count="423">
        <s v="Susan"/>
        <s v="Matthew"/>
        <s v="Nancy"/>
        <s v="Benjamin"/>
        <s v="Melissa"/>
        <s v="Sarah"/>
        <s v="Nathan"/>
        <s v="Gwendolyn"/>
        <s v="Richard"/>
        <s v="Jesus"/>
        <s v="Irma"/>
        <s v="Dawn"/>
        <s v="Whitney"/>
        <s v="Terry"/>
        <s v="Danielle"/>
        <s v="Amador"/>
        <s v="David"/>
        <s v="Norma"/>
        <s v="Jennifer"/>
        <s v="James"/>
        <s v="Noemí"/>
        <s v="Alta Gracia"/>
        <s v="Ramón"/>
        <s v="Karla"/>
        <s v="Cathy"/>
        <s v="Enrique"/>
        <s v="Theresa"/>
        <s v="Patricia"/>
        <s v="Lisa"/>
        <s v="Charles"/>
        <s v="Tracy"/>
        <s v="Robert"/>
        <s v="Jonathan"/>
        <s v="Norman"/>
        <s v="Kelly"/>
        <s v="Michael"/>
        <s v="Gabrielle"/>
        <s v="Jose"/>
        <s v="Sean"/>
        <s v="Rebecca"/>
        <s v="Carolyn"/>
        <s v="Joseph"/>
        <s v="Mark"/>
        <s v="Sandra"/>
        <s v="Espartaco"/>
        <s v="Jesse"/>
        <s v="Laura"/>
        <s v="Samantha"/>
        <s v="Emily"/>
        <s v="Cristal"/>
        <s v="Diane"/>
        <s v="Katherine"/>
        <s v="Tina"/>
        <s v="Donna"/>
        <s v="Anabel"/>
        <s v="Mary"/>
        <s v="Marisela"/>
        <s v="Joshua"/>
        <s v="Andre"/>
        <s v="Patrick"/>
        <s v="Kurt"/>
        <s v="Christopher"/>
        <s v="Mayte"/>
        <s v="Jaime"/>
        <s v="Marcela"/>
        <s v="Clinton"/>
        <s v="Kristen"/>
        <s v="Paul"/>
        <s v="Rubén"/>
        <s v="Ellen"/>
        <s v="John"/>
        <s v="Jacqueline"/>
        <s v="Jill"/>
        <s v="Steven"/>
        <s v="Jorge"/>
        <s v="Samuel"/>
        <s v="Sibilla"/>
        <s v="Joyce"/>
        <s v="Brian"/>
        <s v="Cynthia"/>
        <s v="Leonard"/>
        <s v="Pamela"/>
        <s v="Alicia"/>
        <s v="Benjamín"/>
        <s v="Agustín"/>
        <s v="Concepción"/>
        <s v="Gabriel"/>
        <s v="Tanya"/>
        <s v="Serafín"/>
        <s v="Артем"/>
        <s v="Perry"/>
        <s v="Monica"/>
        <s v="Yvette"/>
        <s v="Kyle"/>
        <s v="Tom"/>
        <s v="Nicholas"/>
        <s v="Karen"/>
        <s v="Micaela"/>
        <s v="Dana"/>
        <s v="Marisol"/>
        <s v="Trevor"/>
        <s v="Clara"/>
        <s v="Brenda"/>
        <s v="Shannon"/>
        <s v="Javier"/>
        <s v="Sharon"/>
        <s v="Chad"/>
        <s v="Mariah"/>
        <s v="Desiree"/>
        <s v="Michelle"/>
        <s v="Amy"/>
        <s v="Evelio"/>
        <s v="Cameron"/>
        <s v="Teresa"/>
        <s v="Thomas"/>
        <s v="Douglas"/>
        <s v="Johnny"/>
        <s v="Linda"/>
        <s v="Lori"/>
        <s v="Brittany"/>
        <s v="Diego"/>
        <s v="Andres"/>
        <s v="Jody"/>
        <s v="Amelia"/>
        <s v="Erica"/>
        <s v="Jessica"/>
        <s v="Anthony"/>
        <s v="Ian"/>
        <s v="Lawrence"/>
        <s v="Ashley"/>
        <s v="Courtney"/>
        <s v="Kristin"/>
        <s v="Noah"/>
        <s v="Mónica"/>
        <s v="María Luisa"/>
        <s v="Stephanie"/>
        <s v="Celia"/>
        <s v="Julie"/>
        <s v="Shelby"/>
        <s v="Angela"/>
        <s v="Christine"/>
        <s v="Jack"/>
        <s v="Eloy"/>
        <s v="Alexander"/>
        <s v="Tara"/>
        <s v="Seth"/>
        <s v="Jeffrey"/>
        <s v="Margarita"/>
        <s v="Latoya"/>
        <s v="Glen"/>
        <s v="Bryan"/>
        <s v="Wayne"/>
        <s v="Melinda"/>
        <s v="Donald"/>
        <s v="Ruby"/>
        <s v="Aldonza"/>
        <s v="Timothy"/>
        <s v="Daniel"/>
        <s v="Monique"/>
        <s v="Bradley"/>
        <s v="Gregory"/>
        <s v="José Carlos"/>
        <s v="Cody"/>
        <s v="Joy"/>
        <s v="Andrew"/>
        <s v="Marissa"/>
        <s v="Caroline"/>
        <s v="William"/>
        <s v="Hannah"/>
        <s v="Dean"/>
        <s v="Rachel"/>
        <s v="Frank"/>
        <s v="Erika"/>
        <s v="Martin"/>
        <s v="Pilar"/>
        <s v="Cristian"/>
        <s v="Denise"/>
        <s v="Elvia"/>
        <s v="Maximiliano"/>
        <s v="Gerónimo"/>
        <s v="George"/>
        <s v="Amalia"/>
        <s v="Maria"/>
        <s v="Jimmy"/>
        <s v="Rhonda"/>
        <s v="Kevin"/>
        <s v="Andrea"/>
        <s v="Stephen"/>
        <s v="María del Carmen"/>
        <s v="Antonia"/>
        <s v="Cassandra"/>
        <s v="Billy"/>
        <s v="Rosalia"/>
        <s v="Roberto"/>
        <s v="Debbie"/>
        <s v="Nayeli"/>
        <s v="Cory"/>
        <s v="Eddie"/>
        <s v="Helena"/>
        <s v="Makayla"/>
        <s v="Antonio"/>
        <s v="Иларион"/>
        <s v="Teodoro"/>
        <s v="Diana"/>
        <s v="Silvano"/>
        <s v="Eric"/>
        <s v="Jaclyn"/>
        <s v="Leah"/>
        <s v="María"/>
        <s v="Crystal"/>
        <s v="Marcus"/>
        <s v="Armando"/>
        <s v="Jon"/>
        <s v="Ariadna"/>
        <s v="Adam"/>
        <s v="Rose"/>
        <s v="Judy"/>
        <s v="Justin"/>
        <s v="Jacinto"/>
        <s v="Gail"/>
        <s v="Jonathon"/>
        <s v="Renee"/>
        <s v="Jamie"/>
        <s v="Beverly"/>
        <s v="Kimberly"/>
        <s v="Jordan"/>
        <s v="Rosa"/>
        <s v="Max"/>
        <s v="Lauren"/>
        <s v="Lynn"/>
        <s v="Katerina"/>
        <s v="Jonás"/>
        <s v="Travis"/>
        <s v="Isabel"/>
        <s v="Leslie"/>
        <s v="Dalia"/>
        <s v="Marilyn"/>
        <s v="Jasmine"/>
        <s v="Miguel"/>
        <s v="Larry"/>
        <s v="Christie"/>
        <s v="Elizabeth"/>
        <s v="Vincent"/>
        <s v="Derrick"/>
        <s v="Tammy"/>
        <s v="Jerry"/>
        <s v="Esteban"/>
        <s v="Brooke"/>
        <s v="Ronald"/>
        <s v="Estela"/>
        <s v="Todd"/>
        <s v="Леонтий"/>
        <s v="Megan"/>
        <s v="Gabriela"/>
        <s v="Carla"/>
        <s v="Jason"/>
        <s v="Calvin"/>
        <s v="Gonzalo"/>
        <s v="Julio César"/>
        <s v="Amanda"/>
        <s v="Melody"/>
        <s v="Genaro"/>
        <s v="Zachary"/>
        <s v="Humberto"/>
        <s v="Наина"/>
        <s v="Tyrone"/>
        <s v="Hunter"/>
        <s v="Jeremy"/>
        <s v="Tonya"/>
        <s v="Jodi"/>
        <s v="Carrie"/>
        <s v="Albert"/>
        <s v="Taylor"/>
        <s v="Arthur"/>
        <s v="Peter"/>
        <s v="Aurora"/>
        <s v="Edward"/>
        <s v="Tyler"/>
        <s v="Fernando"/>
        <s v="Kenneth"/>
        <s v="Óscar"/>
        <s v="Dulce"/>
        <s v="Anna"/>
        <s v="Regina"/>
        <s v="Socorro"/>
        <s v="Phillip"/>
        <s v="Ofelia"/>
        <s v="Alejandro"/>
        <s v="Эраст"/>
        <s v="Gerardo"/>
        <s v="Darlene"/>
        <s v="Nathaniel"/>
        <s v="Aaron"/>
        <s v="Héctor"/>
        <s v="Jake"/>
        <s v="Luis"/>
        <s v="María Eugenia"/>
        <s v="Octavio"/>
        <s v="Shane"/>
        <s v="Katie"/>
        <s v="Sam"/>
        <s v="Cecilia"/>
        <s v="Darío"/>
        <s v="Georgina"/>
        <s v="Lilia"/>
        <s v="Augusto"/>
        <s v="Ronnie"/>
        <s v="Sara"/>
        <s v="Annette"/>
        <s v="Наркис"/>
        <s v="Guillermo"/>
        <s v="Bernabé"/>
        <s v="Bethany"/>
        <s v="Sierra"/>
        <s v="Alvin"/>
        <s v="Gillian"/>
        <s v="Manuel"/>
        <s v="Arcelia"/>
        <s v="Derek"/>
        <s v="Gabriella"/>
        <s v="Luisa"/>
        <s v="Carmen"/>
        <s v="Yolanda"/>
        <s v="Christina"/>
        <s v="Alyssa"/>
        <s v="Mariano"/>
        <s v="Ruth"/>
        <s v="Isaac"/>
        <s v="Elisa"/>
        <s v="Wilfrido"/>
        <s v="Lindsay"/>
        <s v="Alonso"/>
        <s v="José"/>
        <s v="Natasha"/>
        <s v="Kendra"/>
        <s v="Alfred"/>
        <s v="Влас"/>
        <s v="Nicole"/>
        <s v="Flavio"/>
        <s v="Kelsey"/>
        <s v="Mitchell"/>
        <s v="Kristine"/>
        <s v="Leonardo"/>
        <s v="Alan"/>
        <s v="Magdalena"/>
        <s v="Natalie"/>
        <s v="Alta  Gracia"/>
        <s v="Ryan"/>
        <s v="Judith"/>
        <s v="Camilo"/>
        <s v="Warren"/>
        <s v="Garrett"/>
        <s v="Brandy"/>
        <s v="Joaquín"/>
        <s v="Ann"/>
        <s v="Cheryl"/>
        <s v="Vanesa"/>
        <s v="Keith"/>
        <s v="Caridad"/>
        <s v="Damon"/>
        <s v="Eva"/>
        <s v="Jared"/>
        <s v="Dennis"/>
        <s v="Oswaldo"/>
        <s v="Luis Manuel"/>
        <s v="Fidel"/>
        <s v="Victor"/>
        <s v="Bailey"/>
        <s v="Nicolas"/>
        <s v="Emilio"/>
        <s v="Itzel"/>
        <s v="Heather"/>
        <s v="Erin"/>
        <s v="Kayla"/>
        <s v="Micheal"/>
        <s v="Glenn"/>
        <s v="Germán"/>
        <s v="Patricio"/>
        <s v="Trinidad"/>
        <s v="Hermelinda"/>
        <s v="Amber"/>
        <s v="Kim"/>
        <s v="Gabino"/>
        <s v="Cristina"/>
        <s v="Evelyne"/>
        <s v="Эмилия"/>
        <s v="Raymond"/>
        <s v="Adriana"/>
        <s v="José Luis"/>
        <s v="Ilse"/>
        <s v="Darius"/>
        <s v="Kirsty"/>
        <s v="Kathryn"/>
        <s v="Antony"/>
        <s v="Vicente"/>
        <s v="Omar"/>
        <s v="Sandy"/>
        <s v="Clemente"/>
        <s v="Evan"/>
        <s v="Ricky"/>
        <s v="Kate"/>
        <s v="Russell"/>
        <s v="Juan"/>
        <s v="Veronica"/>
        <s v="Israel"/>
        <s v="Leonor"/>
        <s v="Jeff"/>
        <s v="Brandon"/>
        <s v="Scott"/>
        <s v="Rodrigo"/>
        <s v="Krystal"/>
        <s v="Debra"/>
        <s v="Rolando"/>
        <s v="Meghan"/>
        <s v="Carol"/>
        <s v="Dolores"/>
        <s v="Jillian"/>
        <s v="Esperanza"/>
        <s v="Chelsey"/>
        <s v="Rebeca"/>
        <s v="Eduardo"/>
        <s v="Raúl"/>
        <s v="Abelardo"/>
      </sharedItems>
    </cacheField>
    <cacheField name="Surname" numFmtId="0">
      <sharedItems count="520">
        <s v="Gomez"/>
        <s v="Jones"/>
        <s v="Arias"/>
        <s v="Williams"/>
        <s v="Nicholson"/>
        <s v="Jennings"/>
        <s v="Marshall"/>
        <s v="Turner"/>
        <s v="Hayes"/>
        <s v="Roberts"/>
        <s v="Hinojosa"/>
        <s v="Lee"/>
        <s v="Harris"/>
        <s v="Brown"/>
        <s v="Roybal"/>
        <s v="Nguyen"/>
        <s v="Lugo"/>
        <s v="Scott"/>
        <s v="Hernandez"/>
        <s v="Bradford"/>
        <s v="Mora"/>
        <s v="Alonzo"/>
        <s v="Valenzuela"/>
        <s v="Flórez"/>
        <s v="Smith"/>
        <s v="Sandoval"/>
        <s v="Gonzalez"/>
        <s v="Chase"/>
        <s v="Anderson"/>
        <s v="Reid"/>
        <s v="Molina"/>
        <s v="Rojas"/>
        <s v="Wolf"/>
        <s v="Jackson"/>
        <s v="Stout"/>
        <s v="Williamson"/>
        <s v="Ray"/>
        <s v="Jensen"/>
        <s v="Mckenzie"/>
        <s v="Franklin"/>
        <s v="Walker"/>
        <s v="Cruz"/>
        <s v="Richard"/>
        <s v="Patterson"/>
        <s v="Gutierrez"/>
        <s v="Horton"/>
        <s v="Ávila"/>
        <s v="Brooks"/>
        <s v="Garay"/>
        <s v="Lopez"/>
        <s v="Mcguire"/>
        <s v="Cox"/>
        <s v="Mahoney"/>
        <s v="Ritter"/>
        <s v="Campos"/>
        <s v="Gates"/>
        <s v="Angulo"/>
        <s v="Singh"/>
        <s v="Quinn"/>
        <s v="Adams"/>
        <s v="Davis"/>
        <s v="Esparza"/>
        <s v="Montgomery"/>
        <s v="Ingram"/>
        <s v="Reynoso"/>
        <s v="Daniels"/>
        <s v="Henry"/>
        <s v="Cook"/>
        <s v="Stafford"/>
        <s v="Robles"/>
        <s v="Vallejo"/>
        <s v="Carvajal"/>
        <s v="Woods"/>
        <s v="Ward"/>
        <s v="Sutton"/>
        <s v="Vaca"/>
        <s v="Ulloa"/>
        <s v="Sharp"/>
        <s v="Walsh"/>
        <s v="Frey"/>
        <s v="Hancock"/>
        <s v="Baker"/>
        <s v="Fox"/>
        <s v="Navarro"/>
        <s v="Thompson"/>
        <s v="Storey"/>
        <s v="Valadez"/>
        <s v="Hellwig"/>
        <s v="Hall"/>
        <s v="Allen"/>
        <s v="Odom"/>
        <s v="Aguilar"/>
        <s v="Mooney"/>
        <s v="Badillo"/>
        <s v="Singleton"/>
        <s v="Perez"/>
        <s v="Lira"/>
        <s v="Toledo"/>
        <s v="Duarte"/>
        <s v="Terrell"/>
        <s v="Villalobos"/>
        <s v="Gilbert"/>
        <s v="Montemayor"/>
        <s v="Якушев"/>
        <s v="Hahn"/>
        <s v="Rosales"/>
        <s v="Webb"/>
        <s v="Bailey"/>
        <s v="Campbell"/>
        <s v="Young"/>
        <s v="Orr"/>
        <s v="Feliciano"/>
        <s v="Johnson"/>
        <s v="Heredia"/>
        <s v="Cannon"/>
        <s v="Maestas"/>
        <s v="Rodgers"/>
        <s v="Diaz"/>
        <s v="Rodriguez"/>
        <s v="Bowman"/>
        <s v="Rocha"/>
        <s v="Sellers"/>
        <s v="Sanchez"/>
        <s v="Fuller"/>
        <s v="Santiago"/>
        <s v="Hoffman"/>
        <s v="Collins"/>
        <s v="Washington"/>
        <s v="Baca"/>
        <s v="Morris"/>
        <s v="Mccarthy"/>
        <s v="Holland"/>
        <s v="Barnes"/>
        <s v="Crawford"/>
        <s v="Flores"/>
        <s v="Castro"/>
        <s v="Austin"/>
        <s v="Bowers"/>
        <s v="Carlson"/>
        <s v="Carter"/>
        <s v="Estévez"/>
        <s v="Murphy"/>
        <s v="Weeks"/>
        <s v="Grant"/>
        <s v="Caldwell"/>
        <s v="Gutiérrez"/>
        <s v="King"/>
        <s v="Armstrong"/>
        <s v="Martinez"/>
        <s v="Fletcher"/>
        <s v="Hughes"/>
        <s v="Houston"/>
        <s v="Quiñones"/>
        <s v="Marroquín"/>
        <s v="Howe"/>
        <s v="Noble"/>
        <s v="Rico"/>
        <s v="Myers"/>
        <s v="Richardson"/>
        <s v="Elliott"/>
        <s v="Trejo"/>
        <s v="Bruce"/>
        <s v="Orta"/>
        <s v="Conway"/>
        <s v="Acosta"/>
        <s v="Ramos"/>
        <s v="Lindsey"/>
        <s v="Stephenson"/>
        <s v="Weber"/>
        <s v="White"/>
        <s v="Aparicio"/>
        <s v="Carmona"/>
        <s v="Hanson"/>
        <s v="Moore"/>
        <s v="Hart"/>
        <s v="Compton"/>
        <s v="Robinson"/>
        <s v="Abreu"/>
        <s v="Green"/>
        <s v="Gardner"/>
        <s v="Matthews"/>
        <s v="Reese"/>
        <s v="Paul"/>
        <s v="Luevano"/>
        <s v="Hays"/>
        <s v="Shepherd"/>
        <s v="Roman"/>
        <s v="Mason"/>
        <s v="Wade"/>
        <s v="Reynolds"/>
        <s v="West"/>
        <s v="Wood"/>
        <s v="Burke"/>
        <s v="Mendez"/>
        <s v="Humphrey"/>
        <s v="Gonzales"/>
        <s v="Wells"/>
        <s v="Phillips"/>
        <s v="Wilson"/>
        <s v="Colunga"/>
        <s v="Amador"/>
        <s v="Waters"/>
        <s v="Taylor"/>
        <s v="Montaño"/>
        <s v="Soto"/>
        <s v="Cano"/>
        <s v="Warner"/>
        <s v="Flynn"/>
        <s v="Verduzco"/>
        <s v="Gould"/>
        <s v="Conner"/>
        <s v="Snyder"/>
        <s v="Mcdonald"/>
        <s v="Murillo"/>
        <s v="Martin"/>
        <s v="Boone"/>
        <s v="Moreno"/>
        <s v="Enríquez"/>
        <s v="de la Rosa"/>
        <s v="Pantoja"/>
        <s v="Hoffmann"/>
        <s v="Holloway"/>
        <s v="Blevins"/>
        <s v="Parkin"/>
        <s v="Hurtado"/>
        <s v="Sosa"/>
        <s v="Mcclure"/>
        <s v="Suárez"/>
        <s v="Pace"/>
        <s v="Bradshaw"/>
        <s v="Dean"/>
        <s v="Стрелков"/>
        <s v="Ornelas"/>
        <s v="Arriaga"/>
        <s v="Rodríguez"/>
        <s v="Harrison"/>
        <s v="Dixon"/>
        <s v="Burton"/>
        <s v="Oquendo"/>
        <s v="del Río"/>
        <s v="Munoz"/>
        <s v="Nieto"/>
        <s v="Melgar"/>
        <s v="Coffey"/>
        <s v="Burns"/>
        <s v="Howard"/>
        <s v="Tejada"/>
        <s v="Chambers"/>
        <s v="Meyers"/>
        <s v="Bernal"/>
        <s v="Clark"/>
        <s v="Hamilton"/>
        <s v="Holmes"/>
        <s v="Nelson"/>
        <s v="Keller"/>
        <s v="Rivera"/>
        <s v="Hardin"/>
        <s v="Foster"/>
        <s v="Hodges"/>
        <s v="Simmons"/>
        <s v="Kaufman"/>
        <s v="Estrada"/>
        <s v="Hopkins"/>
        <s v="Dörschner"/>
        <s v="Yáñez"/>
        <s v="Mcpherson"/>
        <s v="Miller"/>
        <s v="Montalvo"/>
        <s v="Davies"/>
        <s v="Hunt"/>
        <s v="Barnett"/>
        <s v="Martínez"/>
        <s v="Lane"/>
        <s v="Koch"/>
        <s v="Small"/>
        <s v="Ponce"/>
        <s v="Romero"/>
        <s v="Larson"/>
        <s v="Velázquez"/>
        <s v="Russo"/>
        <s v="Fisher"/>
        <s v="Santana"/>
        <s v="Esquibel"/>
        <s v="Jordan"/>
        <s v="Hill"/>
        <s v="Porras"/>
        <s v="Cross"/>
        <s v="Sherman"/>
        <s v="Bishop"/>
        <s v="Wang"/>
        <s v="Freeman"/>
        <s v="Barajas"/>
        <s v="Никифоров"/>
        <s v="Arnold"/>
        <s v="Escobedo"/>
        <s v="Peterson"/>
        <s v="Garcia"/>
        <s v="Mateo"/>
        <s v="Stein"/>
        <s v="Gallegos"/>
        <s v="Perry"/>
        <s v="Skinner"/>
        <s v="Balderas"/>
        <s v="Manning"/>
        <s v="Parsons"/>
        <s v="Regalado"/>
        <s v="Мясникова"/>
        <s v="Wise"/>
        <s v="Dalton"/>
        <s v="Patel"/>
        <s v="Ewing"/>
        <s v="Mata"/>
        <s v="Wright"/>
        <s v="Morgan"/>
        <s v="Velez"/>
        <s v="Bray"/>
        <s v="Garrison"/>
        <s v="Mireles"/>
        <s v="Barber"/>
        <s v="Elizondo"/>
        <s v="Harrington"/>
        <s v="Mosley"/>
        <s v="Abbott"/>
        <s v="Fischer"/>
        <s v="Haro"/>
        <s v="Jacobs"/>
        <s v="Pope"/>
        <s v="Wyatt"/>
        <s v="George"/>
        <s v="Alonso"/>
        <s v="Olivo"/>
        <s v="Игнатов"/>
        <s v="Correa"/>
        <s v="Silva"/>
        <s v="Kirk"/>
        <s v="Le"/>
        <s v="Simpson"/>
        <s v="Liu"/>
        <s v="Budig"/>
        <s v="Rogers"/>
        <s v="Suarez"/>
        <s v="Montez"/>
        <s v="Gordon"/>
        <s v="English"/>
        <s v="Rubio"/>
        <s v="Schneider"/>
        <s v="Watkins"/>
        <s v="Mann"/>
        <s v="Candelaria"/>
        <s v="Merino"/>
        <s v="Craig"/>
        <s v="Salazar"/>
        <s v="Colon"/>
        <s v="Kerr"/>
        <s v="Goodman"/>
        <s v="Jarvis"/>
        <s v="Archer"/>
        <s v="Velasco"/>
        <s v="Benavídez"/>
        <s v="Gray"/>
        <s v="Black"/>
        <s v="León"/>
        <s v="Townsend"/>
        <s v="Ferrer"/>
        <s v="Knight"/>
        <s v="Cooke"/>
        <s v="Sullivan"/>
        <s v="Харитонов"/>
        <s v="Jaramillo"/>
        <s v="Niño"/>
        <s v="Mullins"/>
        <s v="Landry"/>
        <s v="Negrón"/>
        <s v="Vazquez"/>
        <s v="Wilkinson"/>
        <s v="Carpenter"/>
        <s v="Tran"/>
        <s v="Herrera"/>
        <s v="Navarrete"/>
        <s v="Adame"/>
        <s v="Vasquez"/>
        <s v="Hudson"/>
        <s v="Ortiz"/>
        <s v="Gibbs"/>
        <s v="Branch"/>
        <s v="Rivero"/>
        <s v="Olson"/>
        <s v="Gibson"/>
        <s v="Benítez"/>
        <s v="Lynch"/>
        <s v="Webster"/>
        <s v="Rodarte"/>
        <s v="Maxwell"/>
        <s v="Ochoa"/>
        <s v="Spencer"/>
        <s v="Piña"/>
        <s v="Páez"/>
        <s v="Roth"/>
        <s v="Parks"/>
        <s v="Farrell"/>
        <s v="Thomas"/>
        <s v="Sierra"/>
        <s v="Calhoun"/>
        <s v="Portillo"/>
        <s v="Kelly"/>
        <s v="Мартынов"/>
        <s v="Pineda"/>
        <s v="Downs"/>
        <s v="Briseño"/>
        <s v="Montañez"/>
        <s v="Guerra"/>
        <s v="David"/>
        <s v="Ríos"/>
        <s v="Rose"/>
        <s v="Pelayo"/>
        <s v="Frank"/>
        <s v="James"/>
        <s v="Domínguez"/>
        <s v="Garrett"/>
        <s v="Carrasco"/>
        <s v="Johnston"/>
        <s v="Mitchell"/>
        <s v="Lyons"/>
        <s v="Lester"/>
        <s v="Zavala"/>
        <s v="Russell"/>
        <s v="Bass"/>
        <s v="Clarke"/>
        <s v="Dunn"/>
        <s v="Olivas"/>
        <s v="Sawyer"/>
        <s v="Evans"/>
        <s v="Nolan"/>
        <s v="Torres"/>
        <s v="Saldaña"/>
        <s v="Morales"/>
        <s v="Holder"/>
        <s v="Leon"/>
        <s v="Eaton"/>
        <s v="Curtis"/>
        <s v="Cedillo"/>
        <s v="Mcdaniel"/>
        <s v="Santos"/>
        <s v="Meyer"/>
        <s v="Apodaca"/>
        <s v="Sevilla"/>
        <s v="Doyle"/>
        <s v="Terán"/>
        <s v="Crosby"/>
        <s v="Alvarez"/>
        <s v="Henderson"/>
        <s v="Lawson"/>
        <s v="Mills"/>
        <s v="López"/>
        <s v="Bender"/>
        <s v="Escalante"/>
        <s v="Santacruz"/>
        <s v="Pittman"/>
        <s v="Griego"/>
        <s v="Hobbs"/>
        <s v="Cain"/>
        <s v="Varela"/>
        <s v="Vincent"/>
        <s v="Robertson"/>
        <s v="Lucas"/>
        <s v="Greer"/>
        <s v="Dennis"/>
        <s v="Garza"/>
        <s v="Mcbride"/>
        <s v="Duran"/>
        <s v="Begum"/>
        <s v="Saldivar"/>
        <s v="Holt"/>
        <s v="Bahena"/>
        <s v="Mcgrath"/>
        <s v="Mccarty"/>
        <s v="Roach"/>
        <s v="Olivárez"/>
        <s v="Bell"/>
        <s v="Cazares"/>
        <s v="Gallardo"/>
        <s v="Stuart"/>
        <s v="Reyes"/>
        <s v="Rael"/>
        <s v="Solis"/>
        <s v="Leach"/>
        <s v="Carranza"/>
        <s v="Atzler"/>
        <s v="Хохлова"/>
        <s v="Concepción"/>
        <s v="Carrera"/>
        <s v="Almonte"/>
        <s v="Nash"/>
        <s v="Flowers"/>
        <s v="Kemp"/>
        <s v="Wolfe"/>
        <s v="Oconnor"/>
        <s v="Partida"/>
        <s v="Cortés"/>
        <s v="Ocampo"/>
        <s v="Morrison"/>
        <s v="Esquivel"/>
        <s v="Sweeney"/>
        <s v="Sanches"/>
        <s v="Boyle"/>
        <s v="Casey"/>
        <s v="Mejía"/>
        <s v="Corrales"/>
        <s v="Lloyd"/>
        <s v="Serrano"/>
        <s v="Rios"/>
        <s v="Olivera"/>
        <s v="Rangel"/>
        <s v="Lewis"/>
        <s v="Chan"/>
        <s v="Garrido"/>
        <s v="Barton"/>
        <s v="Valle"/>
        <s v="Bean"/>
        <s v="Botello"/>
      </sharedItems>
    </cacheField>
    <cacheField name="Age" numFmtId="0">
      <sharedItems containsSemiMixedTypes="0" containsString="0" containsNumber="1" containsInteger="1" minValue="19" maxValue="65"/>
    </cacheField>
    <cacheField name="Tenure" numFmtId="0">
      <sharedItems containsSemiMixedTypes="0" containsString="0" containsNumber="1" containsInteger="1" minValue="0" maxValue="45"/>
    </cacheField>
    <cacheField name="Gender" numFmtId="0">
      <sharedItems count="2">
        <s v="Female"/>
        <s v="Male"/>
      </sharedItems>
    </cacheField>
    <cacheField name="Region" numFmtId="0">
      <sharedItems count="5">
        <s v="Northeast"/>
        <s v="West"/>
        <s v="Southeast"/>
        <s v="Midwest"/>
        <s v="Southwest"/>
      </sharedItems>
    </cacheField>
    <cacheField name="Department" numFmtId="0">
      <sharedItems count="7">
        <s v="Marketing"/>
        <s v="Sales"/>
        <s v="Customer Support"/>
        <s v="Operations and production"/>
        <s v="Finance"/>
        <s v="Leadership"/>
        <s v="Human Resources"/>
      </sharedItems>
    </cacheField>
    <cacheField name="Manager" numFmtId="0">
      <sharedItems/>
    </cacheField>
    <cacheField name="Hours" numFmtId="0">
      <sharedItems containsSemiMixedTypes="0" containsString="0" containsNumber="1" containsInteger="1" minValue="8" maxValue="40" count="6">
        <n v="20"/>
        <n v="40"/>
        <n v="8"/>
        <n v="32"/>
        <n v="16"/>
        <n v="24"/>
      </sharedItems>
    </cacheField>
    <cacheField name="Salary Band" numFmtId="0">
      <sharedItems count="5">
        <s v="T4"/>
        <s v="T3"/>
        <s v="T2"/>
        <s v="T1"/>
        <s v="T5"/>
      </sharedItems>
    </cacheField>
    <cacheField name="FTE Salary" numFmtId="44">
      <sharedItems containsSemiMixedTypes="0" containsString="0" containsNumber="1" containsInteger="1" minValue="68000" maxValue="153810"/>
    </cacheField>
    <cacheField name="Salary" numFmtId="44">
      <sharedItems containsSemiMixedTypes="0" containsString="0" containsNumber="1" minValue="13600" maxValue="168321.25"/>
    </cacheField>
    <cacheField name="Performance" numFmtId="0">
      <sharedItems count="3">
        <s v="bottom"/>
        <s v="top"/>
        <s v="average"/>
      </sharedItems>
    </cacheField>
    <cacheField name="Age Group" numFmtId="0">
      <sharedItems count="3">
        <s v="Adult"/>
        <s v="Old"/>
        <s v="Young"/>
      </sharedItems>
    </cacheField>
  </cacheFields>
  <extLst>
    <ext xmlns:x14="http://schemas.microsoft.com/office/spreadsheetml/2009/9/main" uri="{725AE2AE-9491-48be-B2B4-4EB974FC3084}">
      <x14:pivotCacheDefinition pivotCacheId="15086869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5">
  <r>
    <n v="21639"/>
    <x v="0"/>
    <x v="0"/>
    <n v="38"/>
    <n v="2"/>
    <x v="0"/>
    <x v="0"/>
    <x v="0"/>
    <s v="no"/>
    <x v="0"/>
    <x v="0"/>
    <n v="118086"/>
    <n v="59043"/>
    <x v="0"/>
    <x v="0"/>
  </r>
  <r>
    <n v="4335"/>
    <x v="1"/>
    <x v="1"/>
    <n v="62"/>
    <n v="22"/>
    <x v="1"/>
    <x v="1"/>
    <x v="1"/>
    <s v="no"/>
    <x v="1"/>
    <x v="1"/>
    <n v="109666"/>
    <n v="109666"/>
    <x v="1"/>
    <x v="1"/>
  </r>
  <r>
    <n v="1506"/>
    <x v="2"/>
    <x v="2"/>
    <n v="42"/>
    <n v="2"/>
    <x v="0"/>
    <x v="0"/>
    <x v="1"/>
    <s v="no"/>
    <x v="1"/>
    <x v="1"/>
    <n v="106311"/>
    <n v="106311"/>
    <x v="2"/>
    <x v="0"/>
  </r>
  <r>
    <n v="9699"/>
    <x v="3"/>
    <x v="3"/>
    <n v="34"/>
    <n v="5"/>
    <x v="1"/>
    <x v="1"/>
    <x v="2"/>
    <s v="no"/>
    <x v="1"/>
    <x v="1"/>
    <n v="122000"/>
    <n v="122000"/>
    <x v="1"/>
    <x v="0"/>
  </r>
  <r>
    <n v="8711"/>
    <x v="4"/>
    <x v="4"/>
    <n v="32"/>
    <n v="7"/>
    <x v="0"/>
    <x v="2"/>
    <x v="3"/>
    <s v="no"/>
    <x v="0"/>
    <x v="2"/>
    <n v="85000"/>
    <n v="42500"/>
    <x v="2"/>
    <x v="0"/>
  </r>
  <r>
    <n v="8001"/>
    <x v="5"/>
    <x v="5"/>
    <n v="38"/>
    <n v="20"/>
    <x v="0"/>
    <x v="1"/>
    <x v="1"/>
    <s v="no"/>
    <x v="1"/>
    <x v="1"/>
    <n v="98744"/>
    <n v="98744"/>
    <x v="2"/>
    <x v="0"/>
  </r>
  <r>
    <n v="5259"/>
    <x v="6"/>
    <x v="6"/>
    <n v="26"/>
    <n v="0"/>
    <x v="1"/>
    <x v="0"/>
    <x v="2"/>
    <s v="no"/>
    <x v="0"/>
    <x v="3"/>
    <n v="78825"/>
    <n v="39412.5"/>
    <x v="0"/>
    <x v="0"/>
  </r>
  <r>
    <n v="4045"/>
    <x v="7"/>
    <x v="7"/>
    <n v="38"/>
    <n v="8"/>
    <x v="0"/>
    <x v="3"/>
    <x v="2"/>
    <s v="no"/>
    <x v="2"/>
    <x v="3"/>
    <n v="68000"/>
    <n v="13600"/>
    <x v="2"/>
    <x v="0"/>
  </r>
  <r>
    <n v="18557"/>
    <x v="8"/>
    <x v="8"/>
    <n v="23"/>
    <n v="2"/>
    <x v="1"/>
    <x v="1"/>
    <x v="2"/>
    <s v="no"/>
    <x v="1"/>
    <x v="1"/>
    <n v="122000"/>
    <n v="122000"/>
    <x v="1"/>
    <x v="2"/>
  </r>
  <r>
    <n v="3535"/>
    <x v="9"/>
    <x v="9"/>
    <n v="56"/>
    <n v="36"/>
    <x v="1"/>
    <x v="4"/>
    <x v="1"/>
    <s v="yes"/>
    <x v="3"/>
    <x v="4"/>
    <n v="152991"/>
    <n v="122392.8"/>
    <x v="1"/>
    <x v="1"/>
  </r>
  <r>
    <n v="20036"/>
    <x v="10"/>
    <x v="10"/>
    <n v="59"/>
    <n v="28"/>
    <x v="0"/>
    <x v="2"/>
    <x v="3"/>
    <s v="no"/>
    <x v="1"/>
    <x v="2"/>
    <n v="95702"/>
    <n v="95702"/>
    <x v="2"/>
    <x v="1"/>
  </r>
  <r>
    <n v="14512"/>
    <x v="11"/>
    <x v="11"/>
    <n v="31"/>
    <n v="7"/>
    <x v="0"/>
    <x v="3"/>
    <x v="1"/>
    <s v="no"/>
    <x v="3"/>
    <x v="0"/>
    <n v="115000"/>
    <n v="92000"/>
    <x v="0"/>
    <x v="0"/>
  </r>
  <r>
    <n v="1728"/>
    <x v="12"/>
    <x v="3"/>
    <n v="22"/>
    <n v="4"/>
    <x v="0"/>
    <x v="0"/>
    <x v="2"/>
    <s v="no"/>
    <x v="1"/>
    <x v="2"/>
    <n v="85000"/>
    <n v="85000"/>
    <x v="2"/>
    <x v="2"/>
  </r>
  <r>
    <n v="1663"/>
    <x v="13"/>
    <x v="12"/>
    <n v="43"/>
    <n v="4"/>
    <x v="1"/>
    <x v="3"/>
    <x v="1"/>
    <s v="yes"/>
    <x v="3"/>
    <x v="4"/>
    <n v="140400"/>
    <n v="112320"/>
    <x v="1"/>
    <x v="0"/>
  </r>
  <r>
    <n v="3757"/>
    <x v="14"/>
    <x v="13"/>
    <n v="35"/>
    <n v="9"/>
    <x v="0"/>
    <x v="1"/>
    <x v="1"/>
    <s v="no"/>
    <x v="0"/>
    <x v="4"/>
    <n v="130000"/>
    <n v="65000"/>
    <x v="0"/>
    <x v="0"/>
  </r>
  <r>
    <n v="7851"/>
    <x v="15"/>
    <x v="14"/>
    <n v="54"/>
    <n v="2"/>
    <x v="1"/>
    <x v="3"/>
    <x v="4"/>
    <s v="no"/>
    <x v="2"/>
    <x v="1"/>
    <n v="112135"/>
    <n v="22427"/>
    <x v="2"/>
    <x v="1"/>
  </r>
  <r>
    <n v="8310"/>
    <x v="16"/>
    <x v="15"/>
    <n v="44"/>
    <n v="7"/>
    <x v="1"/>
    <x v="1"/>
    <x v="3"/>
    <s v="no"/>
    <x v="0"/>
    <x v="0"/>
    <n v="124200"/>
    <n v="62100"/>
    <x v="2"/>
    <x v="0"/>
  </r>
  <r>
    <n v="17246"/>
    <x v="17"/>
    <x v="16"/>
    <n v="35"/>
    <n v="8"/>
    <x v="1"/>
    <x v="4"/>
    <x v="2"/>
    <s v="no"/>
    <x v="1"/>
    <x v="2"/>
    <n v="98160"/>
    <n v="98160"/>
    <x v="2"/>
    <x v="0"/>
  </r>
  <r>
    <n v="20413"/>
    <x v="18"/>
    <x v="17"/>
    <n v="47"/>
    <n v="3"/>
    <x v="0"/>
    <x v="4"/>
    <x v="2"/>
    <s v="yes"/>
    <x v="4"/>
    <x v="3"/>
    <n v="68000"/>
    <n v="27200"/>
    <x v="0"/>
    <x v="1"/>
  </r>
  <r>
    <n v="1556"/>
    <x v="16"/>
    <x v="18"/>
    <n v="38"/>
    <n v="6"/>
    <x v="1"/>
    <x v="3"/>
    <x v="2"/>
    <s v="no"/>
    <x v="1"/>
    <x v="2"/>
    <n v="107000"/>
    <n v="107000"/>
    <x v="1"/>
    <x v="0"/>
  </r>
  <r>
    <n v="19077"/>
    <x v="19"/>
    <x v="19"/>
    <n v="34"/>
    <n v="0"/>
    <x v="1"/>
    <x v="3"/>
    <x v="2"/>
    <s v="no"/>
    <x v="0"/>
    <x v="3"/>
    <n v="73440"/>
    <n v="36720"/>
    <x v="2"/>
    <x v="0"/>
  </r>
  <r>
    <n v="7202"/>
    <x v="20"/>
    <x v="20"/>
    <n v="24"/>
    <n v="0"/>
    <x v="1"/>
    <x v="2"/>
    <x v="0"/>
    <s v="no"/>
    <x v="5"/>
    <x v="4"/>
    <n v="140400"/>
    <n v="84240"/>
    <x v="2"/>
    <x v="2"/>
  </r>
  <r>
    <n v="21982"/>
    <x v="21"/>
    <x v="21"/>
    <n v="41"/>
    <n v="7"/>
    <x v="1"/>
    <x v="1"/>
    <x v="3"/>
    <s v="no"/>
    <x v="1"/>
    <x v="1"/>
    <n v="122000"/>
    <n v="122000"/>
    <x v="2"/>
    <x v="0"/>
  </r>
  <r>
    <n v="18543"/>
    <x v="22"/>
    <x v="22"/>
    <n v="45"/>
    <n v="1"/>
    <x v="0"/>
    <x v="2"/>
    <x v="2"/>
    <s v="no"/>
    <x v="1"/>
    <x v="2"/>
    <n v="93542"/>
    <n v="93542"/>
    <x v="2"/>
    <x v="1"/>
  </r>
  <r>
    <n v="14433"/>
    <x v="23"/>
    <x v="23"/>
    <n v="35"/>
    <n v="1"/>
    <x v="1"/>
    <x v="1"/>
    <x v="2"/>
    <s v="no"/>
    <x v="1"/>
    <x v="1"/>
    <n v="122000"/>
    <n v="122000"/>
    <x v="1"/>
    <x v="0"/>
  </r>
  <r>
    <n v="7910"/>
    <x v="24"/>
    <x v="24"/>
    <n v="33"/>
    <n v="13"/>
    <x v="0"/>
    <x v="4"/>
    <x v="2"/>
    <s v="no"/>
    <x v="5"/>
    <x v="3"/>
    <n v="68000"/>
    <n v="40800"/>
    <x v="0"/>
    <x v="0"/>
  </r>
  <r>
    <n v="15406"/>
    <x v="25"/>
    <x v="25"/>
    <n v="31"/>
    <n v="10"/>
    <x v="1"/>
    <x v="1"/>
    <x v="2"/>
    <s v="no"/>
    <x v="1"/>
    <x v="1"/>
    <n v="111994"/>
    <n v="111994"/>
    <x v="2"/>
    <x v="0"/>
  </r>
  <r>
    <n v="19996"/>
    <x v="26"/>
    <x v="26"/>
    <n v="58"/>
    <n v="28"/>
    <x v="0"/>
    <x v="0"/>
    <x v="4"/>
    <s v="yes"/>
    <x v="1"/>
    <x v="1"/>
    <n v="105387"/>
    <n v="105387"/>
    <x v="0"/>
    <x v="1"/>
  </r>
  <r>
    <n v="9802"/>
    <x v="8"/>
    <x v="27"/>
    <n v="54"/>
    <n v="3"/>
    <x v="1"/>
    <x v="4"/>
    <x v="2"/>
    <s v="yes"/>
    <x v="5"/>
    <x v="3"/>
    <n v="73440"/>
    <n v="44064"/>
    <x v="0"/>
    <x v="1"/>
  </r>
  <r>
    <n v="899"/>
    <x v="27"/>
    <x v="28"/>
    <n v="37"/>
    <n v="9"/>
    <x v="0"/>
    <x v="2"/>
    <x v="0"/>
    <s v="yes"/>
    <x v="3"/>
    <x v="0"/>
    <n v="115000"/>
    <n v="92000"/>
    <x v="0"/>
    <x v="0"/>
  </r>
  <r>
    <n v="5918"/>
    <x v="28"/>
    <x v="29"/>
    <n v="34"/>
    <n v="14"/>
    <x v="0"/>
    <x v="2"/>
    <x v="1"/>
    <s v="no"/>
    <x v="2"/>
    <x v="1"/>
    <n v="98000"/>
    <n v="19600"/>
    <x v="1"/>
    <x v="0"/>
  </r>
  <r>
    <n v="14535"/>
    <x v="29"/>
    <x v="30"/>
    <n v="57"/>
    <n v="7"/>
    <x v="1"/>
    <x v="4"/>
    <x v="4"/>
    <s v="yes"/>
    <x v="4"/>
    <x v="0"/>
    <n v="124200"/>
    <n v="49680"/>
    <x v="2"/>
    <x v="1"/>
  </r>
  <r>
    <n v="11836"/>
    <x v="30"/>
    <x v="31"/>
    <n v="52"/>
    <n v="33"/>
    <x v="1"/>
    <x v="4"/>
    <x v="2"/>
    <s v="no"/>
    <x v="1"/>
    <x v="2"/>
    <n v="101987"/>
    <n v="101987"/>
    <x v="2"/>
    <x v="1"/>
  </r>
  <r>
    <n v="9792"/>
    <x v="18"/>
    <x v="32"/>
    <n v="33"/>
    <n v="6"/>
    <x v="0"/>
    <x v="4"/>
    <x v="3"/>
    <s v="no"/>
    <x v="0"/>
    <x v="3"/>
    <n v="68000"/>
    <n v="34000"/>
    <x v="0"/>
    <x v="0"/>
  </r>
  <r>
    <n v="5781"/>
    <x v="31"/>
    <x v="33"/>
    <n v="61"/>
    <n v="1"/>
    <x v="1"/>
    <x v="1"/>
    <x v="1"/>
    <s v="no"/>
    <x v="0"/>
    <x v="0"/>
    <n v="129427"/>
    <n v="64713.5"/>
    <x v="2"/>
    <x v="1"/>
  </r>
  <r>
    <n v="7742"/>
    <x v="32"/>
    <x v="34"/>
    <n v="27"/>
    <n v="6"/>
    <x v="1"/>
    <x v="2"/>
    <x v="1"/>
    <s v="no"/>
    <x v="1"/>
    <x v="2"/>
    <n v="107000"/>
    <n v="107000"/>
    <x v="1"/>
    <x v="0"/>
  </r>
  <r>
    <n v="11716"/>
    <x v="33"/>
    <x v="35"/>
    <n v="60"/>
    <n v="35"/>
    <x v="1"/>
    <x v="4"/>
    <x v="2"/>
    <s v="no"/>
    <x v="3"/>
    <x v="2"/>
    <n v="91800"/>
    <n v="73440"/>
    <x v="0"/>
    <x v="1"/>
  </r>
  <r>
    <n v="4036"/>
    <x v="34"/>
    <x v="36"/>
    <n v="51"/>
    <n v="14"/>
    <x v="0"/>
    <x v="0"/>
    <x v="3"/>
    <s v="no"/>
    <x v="1"/>
    <x v="3"/>
    <n v="71511"/>
    <n v="71511"/>
    <x v="2"/>
    <x v="1"/>
  </r>
  <r>
    <n v="3726"/>
    <x v="35"/>
    <x v="37"/>
    <n v="38"/>
    <n v="2"/>
    <x v="1"/>
    <x v="0"/>
    <x v="0"/>
    <s v="no"/>
    <x v="0"/>
    <x v="1"/>
    <n v="122000"/>
    <n v="61000"/>
    <x v="1"/>
    <x v="0"/>
  </r>
  <r>
    <n v="13136"/>
    <x v="36"/>
    <x v="38"/>
    <n v="53"/>
    <n v="30"/>
    <x v="0"/>
    <x v="4"/>
    <x v="3"/>
    <s v="yes"/>
    <x v="0"/>
    <x v="3"/>
    <n v="68000"/>
    <n v="34000"/>
    <x v="2"/>
    <x v="1"/>
  </r>
  <r>
    <n v="3856"/>
    <x v="37"/>
    <x v="39"/>
    <n v="34"/>
    <n v="7"/>
    <x v="1"/>
    <x v="1"/>
    <x v="1"/>
    <s v="no"/>
    <x v="0"/>
    <x v="2"/>
    <n v="106974"/>
    <n v="53487"/>
    <x v="1"/>
    <x v="0"/>
  </r>
  <r>
    <n v="12450"/>
    <x v="38"/>
    <x v="40"/>
    <n v="26"/>
    <n v="0"/>
    <x v="1"/>
    <x v="4"/>
    <x v="2"/>
    <s v="no"/>
    <x v="3"/>
    <x v="2"/>
    <n v="91800"/>
    <n v="73440"/>
    <x v="0"/>
    <x v="0"/>
  </r>
  <r>
    <n v="11957"/>
    <x v="39"/>
    <x v="9"/>
    <n v="21"/>
    <n v="3"/>
    <x v="0"/>
    <x v="2"/>
    <x v="2"/>
    <s v="no"/>
    <x v="0"/>
    <x v="1"/>
    <n v="98000"/>
    <n v="49000"/>
    <x v="0"/>
    <x v="2"/>
  </r>
  <r>
    <n v="20469"/>
    <x v="40"/>
    <x v="41"/>
    <n v="39"/>
    <n v="10"/>
    <x v="0"/>
    <x v="0"/>
    <x v="2"/>
    <s v="yes"/>
    <x v="1"/>
    <x v="3"/>
    <n v="77849"/>
    <n v="77849"/>
    <x v="2"/>
    <x v="0"/>
  </r>
  <r>
    <n v="9354"/>
    <x v="41"/>
    <x v="42"/>
    <n v="37"/>
    <n v="1"/>
    <x v="1"/>
    <x v="4"/>
    <x v="1"/>
    <s v="no"/>
    <x v="1"/>
    <x v="2"/>
    <n v="99216"/>
    <n v="99216"/>
    <x v="2"/>
    <x v="0"/>
  </r>
  <r>
    <n v="2110"/>
    <x v="39"/>
    <x v="43"/>
    <n v="50"/>
    <n v="23"/>
    <x v="0"/>
    <x v="1"/>
    <x v="5"/>
    <s v="yes"/>
    <x v="5"/>
    <x v="4"/>
    <n v="130000"/>
    <n v="78000"/>
    <x v="2"/>
    <x v="1"/>
  </r>
  <r>
    <n v="15741"/>
    <x v="19"/>
    <x v="44"/>
    <n v="26"/>
    <n v="2"/>
    <x v="1"/>
    <x v="1"/>
    <x v="1"/>
    <s v="no"/>
    <x v="1"/>
    <x v="1"/>
    <n v="122000"/>
    <n v="122000"/>
    <x v="1"/>
    <x v="0"/>
  </r>
  <r>
    <n v="18258"/>
    <x v="42"/>
    <x v="45"/>
    <n v="22"/>
    <n v="3"/>
    <x v="1"/>
    <x v="2"/>
    <x v="2"/>
    <s v="no"/>
    <x v="1"/>
    <x v="2"/>
    <n v="107000"/>
    <n v="107000"/>
    <x v="1"/>
    <x v="2"/>
  </r>
  <r>
    <n v="4777"/>
    <x v="43"/>
    <x v="46"/>
    <n v="25"/>
    <n v="7"/>
    <x v="1"/>
    <x v="2"/>
    <x v="3"/>
    <s v="no"/>
    <x v="1"/>
    <x v="1"/>
    <n v="122000"/>
    <n v="122000"/>
    <x v="1"/>
    <x v="0"/>
  </r>
  <r>
    <n v="13090"/>
    <x v="39"/>
    <x v="47"/>
    <n v="39"/>
    <n v="16"/>
    <x v="0"/>
    <x v="4"/>
    <x v="1"/>
    <s v="no"/>
    <x v="4"/>
    <x v="2"/>
    <n v="85000"/>
    <n v="34000"/>
    <x v="2"/>
    <x v="0"/>
  </r>
  <r>
    <n v="3269"/>
    <x v="44"/>
    <x v="48"/>
    <n v="34"/>
    <n v="13"/>
    <x v="0"/>
    <x v="0"/>
    <x v="3"/>
    <s v="no"/>
    <x v="1"/>
    <x v="3"/>
    <n v="76261"/>
    <n v="76261"/>
    <x v="2"/>
    <x v="0"/>
  </r>
  <r>
    <n v="18776"/>
    <x v="6"/>
    <x v="49"/>
    <n v="50"/>
    <n v="21"/>
    <x v="1"/>
    <x v="1"/>
    <x v="2"/>
    <s v="no"/>
    <x v="3"/>
    <x v="2"/>
    <n v="91800"/>
    <n v="73440"/>
    <x v="0"/>
    <x v="1"/>
  </r>
  <r>
    <n v="10293"/>
    <x v="45"/>
    <x v="50"/>
    <n v="20"/>
    <n v="2"/>
    <x v="1"/>
    <x v="2"/>
    <x v="3"/>
    <s v="no"/>
    <x v="0"/>
    <x v="1"/>
    <n v="105840"/>
    <n v="52920"/>
    <x v="0"/>
    <x v="2"/>
  </r>
  <r>
    <n v="21286"/>
    <x v="46"/>
    <x v="51"/>
    <n v="35"/>
    <n v="11"/>
    <x v="0"/>
    <x v="0"/>
    <x v="1"/>
    <s v="no"/>
    <x v="0"/>
    <x v="1"/>
    <n v="107354"/>
    <n v="53677"/>
    <x v="2"/>
    <x v="0"/>
  </r>
  <r>
    <n v="20954"/>
    <x v="47"/>
    <x v="52"/>
    <n v="27"/>
    <n v="0"/>
    <x v="0"/>
    <x v="1"/>
    <x v="4"/>
    <s v="no"/>
    <x v="5"/>
    <x v="4"/>
    <n v="130000"/>
    <n v="78000"/>
    <x v="0"/>
    <x v="0"/>
  </r>
  <r>
    <n v="12537"/>
    <x v="48"/>
    <x v="53"/>
    <n v="40"/>
    <n v="7"/>
    <x v="0"/>
    <x v="1"/>
    <x v="1"/>
    <s v="yes"/>
    <x v="5"/>
    <x v="2"/>
    <n v="85000"/>
    <n v="51000"/>
    <x v="0"/>
    <x v="0"/>
  </r>
  <r>
    <n v="19605"/>
    <x v="49"/>
    <x v="54"/>
    <n v="59"/>
    <n v="29"/>
    <x v="1"/>
    <x v="0"/>
    <x v="4"/>
    <s v="yes"/>
    <x v="1"/>
    <x v="1"/>
    <n v="122000"/>
    <n v="122000"/>
    <x v="0"/>
    <x v="1"/>
  </r>
  <r>
    <n v="6987"/>
    <x v="50"/>
    <x v="55"/>
    <n v="49"/>
    <n v="9"/>
    <x v="0"/>
    <x v="2"/>
    <x v="1"/>
    <s v="no"/>
    <x v="0"/>
    <x v="1"/>
    <n v="98000"/>
    <n v="49000"/>
    <x v="0"/>
    <x v="1"/>
  </r>
  <r>
    <n v="2966"/>
    <x v="43"/>
    <x v="56"/>
    <n v="43"/>
    <n v="23"/>
    <x v="0"/>
    <x v="4"/>
    <x v="4"/>
    <s v="yes"/>
    <x v="5"/>
    <x v="1"/>
    <n v="98000"/>
    <n v="58800"/>
    <x v="0"/>
    <x v="0"/>
  </r>
  <r>
    <n v="2188"/>
    <x v="31"/>
    <x v="57"/>
    <n v="59"/>
    <n v="15"/>
    <x v="1"/>
    <x v="3"/>
    <x v="0"/>
    <s v="yes"/>
    <x v="1"/>
    <x v="1"/>
    <n v="111002"/>
    <n v="111002"/>
    <x v="2"/>
    <x v="1"/>
  </r>
  <r>
    <n v="22355"/>
    <x v="45"/>
    <x v="58"/>
    <n v="36"/>
    <n v="1"/>
    <x v="1"/>
    <x v="3"/>
    <x v="1"/>
    <s v="no"/>
    <x v="3"/>
    <x v="4"/>
    <n v="140400"/>
    <n v="112320"/>
    <x v="2"/>
    <x v="0"/>
  </r>
  <r>
    <n v="8154"/>
    <x v="51"/>
    <x v="59"/>
    <n v="29"/>
    <n v="8"/>
    <x v="0"/>
    <x v="1"/>
    <x v="0"/>
    <s v="no"/>
    <x v="3"/>
    <x v="4"/>
    <n v="130000"/>
    <n v="104000"/>
    <x v="0"/>
    <x v="0"/>
  </r>
  <r>
    <n v="10169"/>
    <x v="52"/>
    <x v="3"/>
    <n v="42"/>
    <n v="5"/>
    <x v="0"/>
    <x v="0"/>
    <x v="1"/>
    <s v="no"/>
    <x v="0"/>
    <x v="1"/>
    <n v="98000"/>
    <n v="49000"/>
    <x v="2"/>
    <x v="0"/>
  </r>
  <r>
    <n v="3301"/>
    <x v="53"/>
    <x v="60"/>
    <n v="42"/>
    <n v="1"/>
    <x v="0"/>
    <x v="2"/>
    <x v="1"/>
    <s v="yes"/>
    <x v="3"/>
    <x v="1"/>
    <n v="98000"/>
    <n v="78400"/>
    <x v="0"/>
    <x v="0"/>
  </r>
  <r>
    <n v="8315"/>
    <x v="54"/>
    <x v="61"/>
    <n v="61"/>
    <n v="13"/>
    <x v="1"/>
    <x v="4"/>
    <x v="4"/>
    <s v="yes"/>
    <x v="3"/>
    <x v="0"/>
    <n v="130562"/>
    <n v="104449.60000000001"/>
    <x v="1"/>
    <x v="1"/>
  </r>
  <r>
    <n v="3996"/>
    <x v="38"/>
    <x v="62"/>
    <n v="28"/>
    <n v="0"/>
    <x v="1"/>
    <x v="2"/>
    <x v="1"/>
    <s v="no"/>
    <x v="1"/>
    <x v="2"/>
    <n v="106021"/>
    <n v="106021"/>
    <x v="1"/>
    <x v="0"/>
  </r>
  <r>
    <n v="13142"/>
    <x v="55"/>
    <x v="63"/>
    <n v="47"/>
    <n v="21"/>
    <x v="0"/>
    <x v="4"/>
    <x v="3"/>
    <s v="no"/>
    <x v="0"/>
    <x v="3"/>
    <n v="68000"/>
    <n v="34000"/>
    <x v="1"/>
    <x v="1"/>
  </r>
  <r>
    <n v="9795"/>
    <x v="56"/>
    <x v="64"/>
    <n v="46"/>
    <n v="15"/>
    <x v="0"/>
    <x v="1"/>
    <x v="4"/>
    <s v="yes"/>
    <x v="4"/>
    <x v="0"/>
    <n v="115000"/>
    <n v="46000"/>
    <x v="0"/>
    <x v="1"/>
  </r>
  <r>
    <n v="15544"/>
    <x v="57"/>
    <x v="1"/>
    <n v="23"/>
    <n v="3"/>
    <x v="1"/>
    <x v="0"/>
    <x v="3"/>
    <s v="no"/>
    <x v="1"/>
    <x v="2"/>
    <n v="107000"/>
    <n v="107000"/>
    <x v="1"/>
    <x v="2"/>
  </r>
  <r>
    <n v="21517"/>
    <x v="58"/>
    <x v="65"/>
    <n v="44"/>
    <n v="6"/>
    <x v="1"/>
    <x v="2"/>
    <x v="3"/>
    <s v="no"/>
    <x v="1"/>
    <x v="2"/>
    <n v="100716"/>
    <n v="100716"/>
    <x v="2"/>
    <x v="0"/>
  </r>
  <r>
    <n v="12641"/>
    <x v="59"/>
    <x v="24"/>
    <n v="32"/>
    <n v="10"/>
    <x v="1"/>
    <x v="4"/>
    <x v="0"/>
    <s v="no"/>
    <x v="4"/>
    <x v="2"/>
    <n v="100430"/>
    <n v="40172"/>
    <x v="1"/>
    <x v="0"/>
  </r>
  <r>
    <n v="6016"/>
    <x v="60"/>
    <x v="66"/>
    <n v="34"/>
    <n v="1"/>
    <x v="1"/>
    <x v="3"/>
    <x v="2"/>
    <s v="no"/>
    <x v="1"/>
    <x v="2"/>
    <n v="105117"/>
    <n v="105117"/>
    <x v="2"/>
    <x v="0"/>
  </r>
  <r>
    <n v="12817"/>
    <x v="61"/>
    <x v="67"/>
    <n v="38"/>
    <n v="10"/>
    <x v="1"/>
    <x v="1"/>
    <x v="3"/>
    <s v="no"/>
    <x v="0"/>
    <x v="1"/>
    <n v="105840"/>
    <n v="52920"/>
    <x v="2"/>
    <x v="0"/>
  </r>
  <r>
    <n v="12328"/>
    <x v="19"/>
    <x v="68"/>
    <n v="49"/>
    <n v="5"/>
    <x v="1"/>
    <x v="1"/>
    <x v="0"/>
    <s v="no"/>
    <x v="0"/>
    <x v="1"/>
    <n v="122000"/>
    <n v="61000"/>
    <x v="1"/>
    <x v="1"/>
  </r>
  <r>
    <n v="7552"/>
    <x v="62"/>
    <x v="69"/>
    <n v="57"/>
    <n v="19"/>
    <x v="0"/>
    <x v="2"/>
    <x v="3"/>
    <s v="no"/>
    <x v="3"/>
    <x v="1"/>
    <n v="98000"/>
    <n v="78400"/>
    <x v="0"/>
    <x v="1"/>
  </r>
  <r>
    <n v="22647"/>
    <x v="63"/>
    <x v="70"/>
    <n v="24"/>
    <n v="3"/>
    <x v="0"/>
    <x v="4"/>
    <x v="4"/>
    <s v="no"/>
    <x v="0"/>
    <x v="1"/>
    <n v="98000"/>
    <n v="49000"/>
    <x v="0"/>
    <x v="2"/>
  </r>
  <r>
    <n v="9435"/>
    <x v="64"/>
    <x v="71"/>
    <n v="34"/>
    <n v="12"/>
    <x v="0"/>
    <x v="2"/>
    <x v="3"/>
    <s v="no"/>
    <x v="0"/>
    <x v="1"/>
    <n v="98000"/>
    <n v="49000"/>
    <x v="2"/>
    <x v="0"/>
  </r>
  <r>
    <n v="21921"/>
    <x v="65"/>
    <x v="72"/>
    <n v="44"/>
    <n v="20"/>
    <x v="1"/>
    <x v="4"/>
    <x v="1"/>
    <s v="yes"/>
    <x v="3"/>
    <x v="1"/>
    <n v="114326"/>
    <n v="91460.800000000003"/>
    <x v="2"/>
    <x v="0"/>
  </r>
  <r>
    <n v="3026"/>
    <x v="66"/>
    <x v="73"/>
    <n v="52"/>
    <n v="19"/>
    <x v="0"/>
    <x v="4"/>
    <x v="3"/>
    <s v="no"/>
    <x v="3"/>
    <x v="3"/>
    <n v="68000"/>
    <n v="54400"/>
    <x v="0"/>
    <x v="1"/>
  </r>
  <r>
    <n v="20647"/>
    <x v="67"/>
    <x v="74"/>
    <n v="41"/>
    <n v="4"/>
    <x v="1"/>
    <x v="4"/>
    <x v="3"/>
    <s v="no"/>
    <x v="1"/>
    <x v="2"/>
    <n v="103887"/>
    <n v="103887"/>
    <x v="1"/>
    <x v="0"/>
  </r>
  <r>
    <n v="21493"/>
    <x v="56"/>
    <x v="75"/>
    <n v="49"/>
    <n v="28"/>
    <x v="1"/>
    <x v="4"/>
    <x v="3"/>
    <s v="no"/>
    <x v="1"/>
    <x v="2"/>
    <n v="107000"/>
    <n v="107000"/>
    <x v="1"/>
    <x v="1"/>
  </r>
  <r>
    <n v="6294"/>
    <x v="68"/>
    <x v="76"/>
    <n v="37"/>
    <n v="8"/>
    <x v="1"/>
    <x v="2"/>
    <x v="2"/>
    <s v="no"/>
    <x v="1"/>
    <x v="2"/>
    <n v="107000"/>
    <n v="107000"/>
    <x v="1"/>
    <x v="0"/>
  </r>
  <r>
    <n v="18189"/>
    <x v="69"/>
    <x v="77"/>
    <n v="56"/>
    <n v="7"/>
    <x v="0"/>
    <x v="4"/>
    <x v="3"/>
    <s v="no"/>
    <x v="0"/>
    <x v="1"/>
    <n v="98000"/>
    <n v="49000"/>
    <x v="0"/>
    <x v="1"/>
  </r>
  <r>
    <n v="8708"/>
    <x v="70"/>
    <x v="78"/>
    <n v="38"/>
    <n v="15"/>
    <x v="1"/>
    <x v="0"/>
    <x v="2"/>
    <s v="no"/>
    <x v="1"/>
    <x v="2"/>
    <n v="107000"/>
    <n v="107000"/>
    <x v="1"/>
    <x v="0"/>
  </r>
  <r>
    <n v="6041"/>
    <x v="1"/>
    <x v="79"/>
    <n v="40"/>
    <n v="5"/>
    <x v="1"/>
    <x v="3"/>
    <x v="2"/>
    <s v="no"/>
    <x v="1"/>
    <x v="1"/>
    <n v="109516"/>
    <n v="109516"/>
    <x v="2"/>
    <x v="0"/>
  </r>
  <r>
    <n v="15834"/>
    <x v="71"/>
    <x v="80"/>
    <n v="34"/>
    <n v="5"/>
    <x v="0"/>
    <x v="2"/>
    <x v="4"/>
    <s v="no"/>
    <x v="5"/>
    <x v="4"/>
    <n v="130000"/>
    <n v="78000"/>
    <x v="2"/>
    <x v="0"/>
  </r>
  <r>
    <n v="13120"/>
    <x v="72"/>
    <x v="81"/>
    <n v="45"/>
    <n v="14"/>
    <x v="0"/>
    <x v="3"/>
    <x v="0"/>
    <s v="yes"/>
    <x v="2"/>
    <x v="0"/>
    <n v="115000"/>
    <n v="23000"/>
    <x v="0"/>
    <x v="1"/>
  </r>
  <r>
    <n v="9532"/>
    <x v="73"/>
    <x v="82"/>
    <n v="32"/>
    <n v="11"/>
    <x v="1"/>
    <x v="1"/>
    <x v="3"/>
    <s v="no"/>
    <x v="1"/>
    <x v="2"/>
    <n v="103172"/>
    <n v="103172"/>
    <x v="1"/>
    <x v="0"/>
  </r>
  <r>
    <n v="21658"/>
    <x v="5"/>
    <x v="83"/>
    <n v="36"/>
    <n v="13"/>
    <x v="0"/>
    <x v="2"/>
    <x v="6"/>
    <s v="no"/>
    <x v="3"/>
    <x v="4"/>
    <n v="130000"/>
    <n v="104000"/>
    <x v="2"/>
    <x v="0"/>
  </r>
  <r>
    <n v="18937"/>
    <x v="74"/>
    <x v="84"/>
    <n v="25"/>
    <n v="5"/>
    <x v="1"/>
    <x v="3"/>
    <x v="1"/>
    <s v="no"/>
    <x v="1"/>
    <x v="1"/>
    <n v="111931"/>
    <n v="111931"/>
    <x v="1"/>
    <x v="0"/>
  </r>
  <r>
    <n v="7883"/>
    <x v="75"/>
    <x v="85"/>
    <n v="51"/>
    <n v="24"/>
    <x v="1"/>
    <x v="2"/>
    <x v="2"/>
    <s v="yes"/>
    <x v="3"/>
    <x v="3"/>
    <n v="79811"/>
    <n v="63848.800000000003"/>
    <x v="2"/>
    <x v="1"/>
  </r>
  <r>
    <n v="11313"/>
    <x v="15"/>
    <x v="86"/>
    <n v="44"/>
    <n v="10"/>
    <x v="0"/>
    <x v="2"/>
    <x v="2"/>
    <s v="yes"/>
    <x v="5"/>
    <x v="3"/>
    <n v="68000"/>
    <n v="40800"/>
    <x v="0"/>
    <x v="0"/>
  </r>
  <r>
    <n v="2519"/>
    <x v="76"/>
    <x v="87"/>
    <n v="32"/>
    <n v="1"/>
    <x v="0"/>
    <x v="3"/>
    <x v="1"/>
    <s v="no"/>
    <x v="1"/>
    <x v="0"/>
    <n v="119100"/>
    <n v="119100"/>
    <x v="1"/>
    <x v="0"/>
  </r>
  <r>
    <n v="8192"/>
    <x v="14"/>
    <x v="88"/>
    <n v="40"/>
    <n v="6"/>
    <x v="0"/>
    <x v="2"/>
    <x v="3"/>
    <s v="yes"/>
    <x v="5"/>
    <x v="3"/>
    <n v="68000"/>
    <n v="40800"/>
    <x v="0"/>
    <x v="0"/>
  </r>
  <r>
    <n v="1738"/>
    <x v="77"/>
    <x v="89"/>
    <n v="33"/>
    <n v="6"/>
    <x v="0"/>
    <x v="3"/>
    <x v="1"/>
    <s v="no"/>
    <x v="0"/>
    <x v="1"/>
    <n v="103930"/>
    <n v="51965"/>
    <x v="2"/>
    <x v="0"/>
  </r>
  <r>
    <n v="11023"/>
    <x v="8"/>
    <x v="90"/>
    <n v="44"/>
    <n v="4"/>
    <x v="1"/>
    <x v="1"/>
    <x v="2"/>
    <s v="no"/>
    <x v="1"/>
    <x v="1"/>
    <n v="110619"/>
    <n v="110619"/>
    <x v="2"/>
    <x v="0"/>
  </r>
  <r>
    <n v="13832"/>
    <x v="1"/>
    <x v="1"/>
    <n v="64"/>
    <n v="12"/>
    <x v="1"/>
    <x v="4"/>
    <x v="2"/>
    <s v="yes"/>
    <x v="0"/>
    <x v="3"/>
    <n v="73440"/>
    <n v="36720"/>
    <x v="0"/>
    <x v="1"/>
  </r>
  <r>
    <n v="9460"/>
    <x v="78"/>
    <x v="91"/>
    <n v="44"/>
    <n v="14"/>
    <x v="1"/>
    <x v="0"/>
    <x v="3"/>
    <s v="no"/>
    <x v="1"/>
    <x v="0"/>
    <n v="138000"/>
    <n v="138000"/>
    <x v="2"/>
    <x v="0"/>
  </r>
  <r>
    <n v="2855"/>
    <x v="79"/>
    <x v="92"/>
    <n v="39"/>
    <n v="14"/>
    <x v="0"/>
    <x v="3"/>
    <x v="3"/>
    <s v="no"/>
    <x v="1"/>
    <x v="2"/>
    <n v="97040"/>
    <n v="97040"/>
    <x v="2"/>
    <x v="0"/>
  </r>
  <r>
    <n v="7600"/>
    <x v="80"/>
    <x v="72"/>
    <n v="37"/>
    <n v="18"/>
    <x v="1"/>
    <x v="2"/>
    <x v="1"/>
    <s v="no"/>
    <x v="1"/>
    <x v="2"/>
    <n v="103955"/>
    <n v="103955"/>
    <x v="2"/>
    <x v="0"/>
  </r>
  <r>
    <n v="19272"/>
    <x v="81"/>
    <x v="93"/>
    <n v="40"/>
    <n v="19"/>
    <x v="0"/>
    <x v="3"/>
    <x v="1"/>
    <s v="no"/>
    <x v="0"/>
    <x v="1"/>
    <n v="106129"/>
    <n v="53064.5"/>
    <x v="2"/>
    <x v="0"/>
  </r>
  <r>
    <n v="10998"/>
    <x v="70"/>
    <x v="94"/>
    <n v="43"/>
    <n v="5"/>
    <x v="1"/>
    <x v="3"/>
    <x v="0"/>
    <s v="yes"/>
    <x v="3"/>
    <x v="2"/>
    <n v="98459"/>
    <n v="78767.199999999997"/>
    <x v="2"/>
    <x v="0"/>
  </r>
  <r>
    <n v="7654"/>
    <x v="61"/>
    <x v="95"/>
    <n v="43"/>
    <n v="24"/>
    <x v="1"/>
    <x v="3"/>
    <x v="2"/>
    <s v="no"/>
    <x v="1"/>
    <x v="2"/>
    <n v="107000"/>
    <n v="107000"/>
    <x v="2"/>
    <x v="0"/>
  </r>
  <r>
    <n v="22164"/>
    <x v="82"/>
    <x v="96"/>
    <n v="51"/>
    <n v="31"/>
    <x v="1"/>
    <x v="3"/>
    <x v="3"/>
    <s v="no"/>
    <x v="3"/>
    <x v="3"/>
    <n v="79277"/>
    <n v="63421.599999999999"/>
    <x v="2"/>
    <x v="1"/>
  </r>
  <r>
    <n v="17045"/>
    <x v="83"/>
    <x v="97"/>
    <n v="57"/>
    <n v="3"/>
    <x v="0"/>
    <x v="2"/>
    <x v="2"/>
    <s v="no"/>
    <x v="1"/>
    <x v="1"/>
    <n v="98000"/>
    <n v="98000"/>
    <x v="2"/>
    <x v="1"/>
  </r>
  <r>
    <n v="13651"/>
    <x v="84"/>
    <x v="98"/>
    <n v="24"/>
    <n v="0"/>
    <x v="1"/>
    <x v="0"/>
    <x v="1"/>
    <s v="no"/>
    <x v="1"/>
    <x v="0"/>
    <n v="138000"/>
    <n v="138000"/>
    <x v="1"/>
    <x v="2"/>
  </r>
  <r>
    <n v="21751"/>
    <x v="67"/>
    <x v="99"/>
    <n v="52"/>
    <n v="1"/>
    <x v="1"/>
    <x v="4"/>
    <x v="3"/>
    <s v="no"/>
    <x v="1"/>
    <x v="2"/>
    <n v="100794"/>
    <n v="100794"/>
    <x v="1"/>
    <x v="1"/>
  </r>
  <r>
    <n v="15722"/>
    <x v="85"/>
    <x v="100"/>
    <n v="38"/>
    <n v="3"/>
    <x v="0"/>
    <x v="2"/>
    <x v="2"/>
    <s v="no"/>
    <x v="1"/>
    <x v="2"/>
    <n v="96799"/>
    <n v="96799"/>
    <x v="2"/>
    <x v="0"/>
  </r>
  <r>
    <n v="5368"/>
    <x v="86"/>
    <x v="101"/>
    <n v="43"/>
    <n v="6"/>
    <x v="1"/>
    <x v="1"/>
    <x v="2"/>
    <s v="no"/>
    <x v="1"/>
    <x v="2"/>
    <n v="97259"/>
    <n v="97259"/>
    <x v="2"/>
    <x v="0"/>
  </r>
  <r>
    <n v="9366"/>
    <x v="87"/>
    <x v="60"/>
    <n v="57"/>
    <n v="12"/>
    <x v="0"/>
    <x v="0"/>
    <x v="2"/>
    <s v="no"/>
    <x v="1"/>
    <x v="2"/>
    <n v="88613"/>
    <n v="88613"/>
    <x v="2"/>
    <x v="1"/>
  </r>
  <r>
    <n v="5262"/>
    <x v="88"/>
    <x v="102"/>
    <n v="23"/>
    <n v="2"/>
    <x v="1"/>
    <x v="4"/>
    <x v="3"/>
    <s v="no"/>
    <x v="1"/>
    <x v="2"/>
    <n v="100247"/>
    <n v="100247"/>
    <x v="2"/>
    <x v="2"/>
  </r>
  <r>
    <n v="8768"/>
    <x v="89"/>
    <x v="103"/>
    <n v="37"/>
    <n v="10"/>
    <x v="1"/>
    <x v="0"/>
    <x v="3"/>
    <s v="no"/>
    <x v="1"/>
    <x v="3"/>
    <n v="87000"/>
    <n v="87000"/>
    <x v="1"/>
    <x v="0"/>
  </r>
  <r>
    <n v="19081"/>
    <x v="90"/>
    <x v="104"/>
    <n v="27"/>
    <n v="8"/>
    <x v="1"/>
    <x v="1"/>
    <x v="4"/>
    <s v="no"/>
    <x v="0"/>
    <x v="4"/>
    <n v="140995"/>
    <n v="70497.5"/>
    <x v="1"/>
    <x v="0"/>
  </r>
  <r>
    <n v="18348"/>
    <x v="91"/>
    <x v="105"/>
    <n v="53"/>
    <n v="35"/>
    <x v="0"/>
    <x v="1"/>
    <x v="1"/>
    <s v="no"/>
    <x v="3"/>
    <x v="2"/>
    <n v="85000"/>
    <n v="68000"/>
    <x v="0"/>
    <x v="1"/>
  </r>
  <r>
    <n v="9296"/>
    <x v="92"/>
    <x v="106"/>
    <n v="36"/>
    <n v="2"/>
    <x v="0"/>
    <x v="1"/>
    <x v="3"/>
    <s v="no"/>
    <x v="0"/>
    <x v="3"/>
    <n v="68000"/>
    <n v="34000"/>
    <x v="0"/>
    <x v="0"/>
  </r>
  <r>
    <n v="19842"/>
    <x v="93"/>
    <x v="107"/>
    <n v="32"/>
    <n v="13"/>
    <x v="1"/>
    <x v="1"/>
    <x v="1"/>
    <s v="no"/>
    <x v="0"/>
    <x v="1"/>
    <n v="112109"/>
    <n v="56054.5"/>
    <x v="1"/>
    <x v="0"/>
  </r>
  <r>
    <n v="14725"/>
    <x v="94"/>
    <x v="108"/>
    <n v="34"/>
    <n v="2"/>
    <x v="1"/>
    <x v="1"/>
    <x v="2"/>
    <s v="no"/>
    <x v="1"/>
    <x v="2"/>
    <n v="92035"/>
    <n v="92035"/>
    <x v="1"/>
    <x v="0"/>
  </r>
  <r>
    <n v="19808"/>
    <x v="95"/>
    <x v="109"/>
    <n v="41"/>
    <n v="21"/>
    <x v="1"/>
    <x v="2"/>
    <x v="6"/>
    <s v="yes"/>
    <x v="4"/>
    <x v="2"/>
    <n v="92432"/>
    <n v="36972.800000000003"/>
    <x v="2"/>
    <x v="0"/>
  </r>
  <r>
    <n v="13774"/>
    <x v="96"/>
    <x v="60"/>
    <n v="38"/>
    <n v="18"/>
    <x v="0"/>
    <x v="1"/>
    <x v="1"/>
    <s v="no"/>
    <x v="1"/>
    <x v="2"/>
    <n v="85000"/>
    <n v="85000"/>
    <x v="2"/>
    <x v="0"/>
  </r>
  <r>
    <n v="12548"/>
    <x v="41"/>
    <x v="110"/>
    <n v="59"/>
    <n v="6"/>
    <x v="1"/>
    <x v="4"/>
    <x v="1"/>
    <s v="yes"/>
    <x v="5"/>
    <x v="2"/>
    <n v="91800"/>
    <n v="55080"/>
    <x v="2"/>
    <x v="1"/>
  </r>
  <r>
    <n v="7873"/>
    <x v="97"/>
    <x v="111"/>
    <n v="50"/>
    <n v="15"/>
    <x v="1"/>
    <x v="1"/>
    <x v="0"/>
    <s v="yes"/>
    <x v="2"/>
    <x v="0"/>
    <n v="124200"/>
    <n v="24840"/>
    <x v="1"/>
    <x v="1"/>
  </r>
  <r>
    <n v="5219"/>
    <x v="98"/>
    <x v="112"/>
    <n v="50"/>
    <n v="6"/>
    <x v="0"/>
    <x v="0"/>
    <x v="2"/>
    <s v="no"/>
    <x v="1"/>
    <x v="2"/>
    <n v="93409"/>
    <n v="93409"/>
    <x v="2"/>
    <x v="1"/>
  </r>
  <r>
    <n v="17383"/>
    <x v="99"/>
    <x v="113"/>
    <n v="25"/>
    <n v="2"/>
    <x v="0"/>
    <x v="2"/>
    <x v="3"/>
    <s v="no"/>
    <x v="4"/>
    <x v="2"/>
    <n v="85000"/>
    <n v="34000"/>
    <x v="0"/>
    <x v="0"/>
  </r>
  <r>
    <n v="16858"/>
    <x v="100"/>
    <x v="114"/>
    <n v="41"/>
    <n v="7"/>
    <x v="1"/>
    <x v="0"/>
    <x v="3"/>
    <s v="yes"/>
    <x v="1"/>
    <x v="3"/>
    <n v="87000"/>
    <n v="87000"/>
    <x v="1"/>
    <x v="0"/>
  </r>
  <r>
    <n v="3665"/>
    <x v="101"/>
    <x v="115"/>
    <n v="31"/>
    <n v="12"/>
    <x v="0"/>
    <x v="1"/>
    <x v="3"/>
    <s v="no"/>
    <x v="0"/>
    <x v="3"/>
    <n v="68000"/>
    <n v="34000"/>
    <x v="0"/>
    <x v="0"/>
  </r>
  <r>
    <n v="2230"/>
    <x v="102"/>
    <x v="13"/>
    <n v="29"/>
    <n v="5"/>
    <x v="0"/>
    <x v="3"/>
    <x v="0"/>
    <s v="no"/>
    <x v="0"/>
    <x v="1"/>
    <n v="98000"/>
    <n v="49000"/>
    <x v="1"/>
    <x v="0"/>
  </r>
  <r>
    <n v="4279"/>
    <x v="103"/>
    <x v="4"/>
    <n v="42"/>
    <n v="17"/>
    <x v="0"/>
    <x v="1"/>
    <x v="1"/>
    <s v="no"/>
    <x v="3"/>
    <x v="2"/>
    <n v="85000"/>
    <n v="68000"/>
    <x v="2"/>
    <x v="0"/>
  </r>
  <r>
    <n v="5695"/>
    <x v="8"/>
    <x v="60"/>
    <n v="53"/>
    <n v="4"/>
    <x v="1"/>
    <x v="1"/>
    <x v="1"/>
    <s v="no"/>
    <x v="0"/>
    <x v="2"/>
    <n v="99775"/>
    <n v="49887.5"/>
    <x v="0"/>
    <x v="1"/>
  </r>
  <r>
    <n v="21247"/>
    <x v="104"/>
    <x v="24"/>
    <n v="59"/>
    <n v="25"/>
    <x v="1"/>
    <x v="3"/>
    <x v="2"/>
    <s v="no"/>
    <x v="1"/>
    <x v="2"/>
    <n v="102177"/>
    <n v="127721.25"/>
    <x v="1"/>
    <x v="1"/>
  </r>
  <r>
    <n v="5929"/>
    <x v="105"/>
    <x v="116"/>
    <n v="40"/>
    <n v="18"/>
    <x v="0"/>
    <x v="2"/>
    <x v="1"/>
    <s v="no"/>
    <x v="0"/>
    <x v="2"/>
    <n v="85000"/>
    <n v="42500"/>
    <x v="2"/>
    <x v="0"/>
  </r>
  <r>
    <n v="14520"/>
    <x v="41"/>
    <x v="27"/>
    <n v="32"/>
    <n v="11"/>
    <x v="1"/>
    <x v="1"/>
    <x v="1"/>
    <s v="no"/>
    <x v="1"/>
    <x v="2"/>
    <n v="107000"/>
    <n v="107000"/>
    <x v="2"/>
    <x v="0"/>
  </r>
  <r>
    <n v="20230"/>
    <x v="106"/>
    <x v="117"/>
    <n v="42"/>
    <n v="23"/>
    <x v="1"/>
    <x v="2"/>
    <x v="3"/>
    <s v="yes"/>
    <x v="3"/>
    <x v="3"/>
    <n v="79042"/>
    <n v="63233.599999999999"/>
    <x v="2"/>
    <x v="0"/>
  </r>
  <r>
    <n v="2768"/>
    <x v="37"/>
    <x v="118"/>
    <n v="44"/>
    <n v="23"/>
    <x v="1"/>
    <x v="4"/>
    <x v="2"/>
    <s v="no"/>
    <x v="1"/>
    <x v="2"/>
    <n v="94262"/>
    <n v="94262"/>
    <x v="2"/>
    <x v="0"/>
  </r>
  <r>
    <n v="13295"/>
    <x v="35"/>
    <x v="119"/>
    <n v="26"/>
    <n v="7"/>
    <x v="1"/>
    <x v="4"/>
    <x v="2"/>
    <s v="no"/>
    <x v="1"/>
    <x v="2"/>
    <n v="101279"/>
    <n v="101279"/>
    <x v="1"/>
    <x v="0"/>
  </r>
  <r>
    <n v="13191"/>
    <x v="61"/>
    <x v="120"/>
    <n v="44"/>
    <n v="9"/>
    <x v="1"/>
    <x v="0"/>
    <x v="3"/>
    <s v="no"/>
    <x v="1"/>
    <x v="0"/>
    <n v="135465"/>
    <n v="135465"/>
    <x v="1"/>
    <x v="0"/>
  </r>
  <r>
    <n v="20213"/>
    <x v="107"/>
    <x v="121"/>
    <n v="43"/>
    <n v="17"/>
    <x v="0"/>
    <x v="2"/>
    <x v="2"/>
    <s v="no"/>
    <x v="1"/>
    <x v="1"/>
    <n v="99502"/>
    <n v="99502"/>
    <x v="2"/>
    <x v="0"/>
  </r>
  <r>
    <n v="16024"/>
    <x v="108"/>
    <x v="122"/>
    <n v="37"/>
    <n v="10"/>
    <x v="0"/>
    <x v="0"/>
    <x v="0"/>
    <s v="no"/>
    <x v="0"/>
    <x v="2"/>
    <n v="85000"/>
    <n v="42500"/>
    <x v="2"/>
    <x v="0"/>
  </r>
  <r>
    <n v="18025"/>
    <x v="35"/>
    <x v="123"/>
    <n v="56"/>
    <n v="38"/>
    <x v="1"/>
    <x v="0"/>
    <x v="1"/>
    <s v="no"/>
    <x v="1"/>
    <x v="1"/>
    <n v="122000"/>
    <n v="122000"/>
    <x v="2"/>
    <x v="1"/>
  </r>
  <r>
    <n v="8925"/>
    <x v="109"/>
    <x v="124"/>
    <n v="26"/>
    <n v="7"/>
    <x v="0"/>
    <x v="1"/>
    <x v="3"/>
    <s v="no"/>
    <x v="1"/>
    <x v="1"/>
    <n v="107979"/>
    <n v="107979"/>
    <x v="2"/>
    <x v="0"/>
  </r>
  <r>
    <n v="18815"/>
    <x v="110"/>
    <x v="125"/>
    <n v="48"/>
    <n v="30"/>
    <x v="0"/>
    <x v="4"/>
    <x v="2"/>
    <s v="no"/>
    <x v="1"/>
    <x v="1"/>
    <n v="98000"/>
    <n v="98000"/>
    <x v="2"/>
    <x v="1"/>
  </r>
  <r>
    <n v="1063"/>
    <x v="70"/>
    <x v="126"/>
    <n v="45"/>
    <n v="4"/>
    <x v="1"/>
    <x v="2"/>
    <x v="1"/>
    <s v="no"/>
    <x v="1"/>
    <x v="2"/>
    <n v="92747"/>
    <n v="92747"/>
    <x v="2"/>
    <x v="1"/>
  </r>
  <r>
    <n v="4440"/>
    <x v="78"/>
    <x v="127"/>
    <n v="44"/>
    <n v="19"/>
    <x v="1"/>
    <x v="2"/>
    <x v="5"/>
    <s v="yes"/>
    <x v="0"/>
    <x v="0"/>
    <n v="124200"/>
    <n v="62100"/>
    <x v="2"/>
    <x v="0"/>
  </r>
  <r>
    <n v="18282"/>
    <x v="111"/>
    <x v="128"/>
    <n v="43"/>
    <n v="8"/>
    <x v="1"/>
    <x v="0"/>
    <x v="0"/>
    <s v="yes"/>
    <x v="1"/>
    <x v="1"/>
    <n v="117932"/>
    <n v="117932"/>
    <x v="2"/>
    <x v="0"/>
  </r>
  <r>
    <n v="9430"/>
    <x v="112"/>
    <x v="129"/>
    <n v="33"/>
    <n v="4"/>
    <x v="1"/>
    <x v="3"/>
    <x v="3"/>
    <s v="no"/>
    <x v="1"/>
    <x v="0"/>
    <n v="138000"/>
    <n v="138000"/>
    <x v="2"/>
    <x v="0"/>
  </r>
  <r>
    <n v="5695"/>
    <x v="8"/>
    <x v="60"/>
    <n v="53"/>
    <n v="4"/>
    <x v="1"/>
    <x v="1"/>
    <x v="0"/>
    <s v="no"/>
    <x v="0"/>
    <x v="2"/>
    <n v="99775"/>
    <n v="49887.5"/>
    <x v="0"/>
    <x v="1"/>
  </r>
  <r>
    <n v="21690"/>
    <x v="113"/>
    <x v="130"/>
    <n v="57"/>
    <n v="16"/>
    <x v="0"/>
    <x v="1"/>
    <x v="6"/>
    <s v="yes"/>
    <x v="3"/>
    <x v="1"/>
    <n v="99787"/>
    <n v="79829.600000000006"/>
    <x v="2"/>
    <x v="1"/>
  </r>
  <r>
    <n v="11833"/>
    <x v="113"/>
    <x v="131"/>
    <n v="35"/>
    <n v="4"/>
    <x v="0"/>
    <x v="4"/>
    <x v="0"/>
    <s v="no"/>
    <x v="0"/>
    <x v="2"/>
    <n v="85000"/>
    <n v="42500"/>
    <x v="0"/>
    <x v="0"/>
  </r>
  <r>
    <n v="4342"/>
    <x v="114"/>
    <x v="132"/>
    <n v="34"/>
    <n v="0"/>
    <x v="1"/>
    <x v="1"/>
    <x v="3"/>
    <s v="no"/>
    <x v="1"/>
    <x v="1"/>
    <n v="121136"/>
    <n v="121136"/>
    <x v="1"/>
    <x v="0"/>
  </r>
  <r>
    <n v="10304"/>
    <x v="115"/>
    <x v="133"/>
    <n v="31"/>
    <n v="3"/>
    <x v="1"/>
    <x v="0"/>
    <x v="0"/>
    <s v="no"/>
    <x v="1"/>
    <x v="2"/>
    <n v="106245"/>
    <n v="106245"/>
    <x v="2"/>
    <x v="0"/>
  </r>
  <r>
    <n v="14933"/>
    <x v="35"/>
    <x v="134"/>
    <n v="49"/>
    <n v="8"/>
    <x v="1"/>
    <x v="2"/>
    <x v="2"/>
    <s v="no"/>
    <x v="3"/>
    <x v="2"/>
    <n v="95387"/>
    <n v="76309.600000000006"/>
    <x v="0"/>
    <x v="1"/>
  </r>
  <r>
    <n v="5869"/>
    <x v="5"/>
    <x v="25"/>
    <n v="54"/>
    <n v="26"/>
    <x v="0"/>
    <x v="2"/>
    <x v="1"/>
    <s v="no"/>
    <x v="3"/>
    <x v="2"/>
    <n v="85573"/>
    <n v="68458.399999999994"/>
    <x v="0"/>
    <x v="1"/>
  </r>
  <r>
    <n v="15554"/>
    <x v="16"/>
    <x v="107"/>
    <n v="64"/>
    <n v="6"/>
    <x v="1"/>
    <x v="1"/>
    <x v="0"/>
    <s v="no"/>
    <x v="0"/>
    <x v="1"/>
    <n v="122000"/>
    <n v="61000"/>
    <x v="1"/>
    <x v="1"/>
  </r>
  <r>
    <n v="793"/>
    <x v="116"/>
    <x v="135"/>
    <n v="42"/>
    <n v="14"/>
    <x v="1"/>
    <x v="0"/>
    <x v="1"/>
    <s v="no"/>
    <x v="1"/>
    <x v="2"/>
    <n v="101950"/>
    <n v="101950"/>
    <x v="2"/>
    <x v="0"/>
  </r>
  <r>
    <n v="9317"/>
    <x v="19"/>
    <x v="136"/>
    <n v="50"/>
    <n v="25"/>
    <x v="1"/>
    <x v="1"/>
    <x v="3"/>
    <s v="no"/>
    <x v="0"/>
    <x v="3"/>
    <n v="73440"/>
    <n v="45900"/>
    <x v="2"/>
    <x v="1"/>
  </r>
  <r>
    <n v="17090"/>
    <x v="117"/>
    <x v="67"/>
    <n v="50"/>
    <n v="11"/>
    <x v="0"/>
    <x v="4"/>
    <x v="3"/>
    <s v="no"/>
    <x v="3"/>
    <x v="1"/>
    <n v="98000"/>
    <n v="78400"/>
    <x v="0"/>
    <x v="1"/>
  </r>
  <r>
    <n v="6541"/>
    <x v="118"/>
    <x v="137"/>
    <n v="43"/>
    <n v="18"/>
    <x v="0"/>
    <x v="4"/>
    <x v="3"/>
    <s v="no"/>
    <x v="0"/>
    <x v="2"/>
    <n v="85000"/>
    <n v="42500"/>
    <x v="2"/>
    <x v="0"/>
  </r>
  <r>
    <n v="17322"/>
    <x v="61"/>
    <x v="138"/>
    <n v="63"/>
    <n v="45"/>
    <x v="1"/>
    <x v="3"/>
    <x v="3"/>
    <s v="yes"/>
    <x v="5"/>
    <x v="3"/>
    <n v="73440"/>
    <n v="44064"/>
    <x v="0"/>
    <x v="1"/>
  </r>
  <r>
    <n v="4173"/>
    <x v="119"/>
    <x v="81"/>
    <n v="40"/>
    <n v="14"/>
    <x v="0"/>
    <x v="0"/>
    <x v="0"/>
    <s v="yes"/>
    <x v="1"/>
    <x v="4"/>
    <n v="130000"/>
    <n v="130000"/>
    <x v="0"/>
    <x v="0"/>
  </r>
  <r>
    <n v="21176"/>
    <x v="35"/>
    <x v="112"/>
    <n v="48"/>
    <n v="29"/>
    <x v="1"/>
    <x v="2"/>
    <x v="0"/>
    <s v="yes"/>
    <x v="3"/>
    <x v="1"/>
    <n v="105840"/>
    <n v="84672"/>
    <x v="2"/>
    <x v="1"/>
  </r>
  <r>
    <n v="10466"/>
    <x v="4"/>
    <x v="139"/>
    <n v="59"/>
    <n v="9"/>
    <x v="0"/>
    <x v="4"/>
    <x v="3"/>
    <s v="no"/>
    <x v="0"/>
    <x v="2"/>
    <n v="85000"/>
    <n v="42500"/>
    <x v="0"/>
    <x v="1"/>
  </r>
  <r>
    <n v="21624"/>
    <x v="28"/>
    <x v="5"/>
    <n v="29"/>
    <n v="6"/>
    <x v="0"/>
    <x v="2"/>
    <x v="2"/>
    <s v="no"/>
    <x v="1"/>
    <x v="2"/>
    <n v="89630"/>
    <n v="89630"/>
    <x v="2"/>
    <x v="0"/>
  </r>
  <r>
    <n v="20641"/>
    <x v="120"/>
    <x v="140"/>
    <n v="46"/>
    <n v="11"/>
    <x v="1"/>
    <x v="1"/>
    <x v="2"/>
    <s v="no"/>
    <x v="1"/>
    <x v="1"/>
    <n v="119349"/>
    <n v="119349"/>
    <x v="1"/>
    <x v="1"/>
  </r>
  <r>
    <n v="7204"/>
    <x v="38"/>
    <x v="141"/>
    <n v="43"/>
    <n v="10"/>
    <x v="1"/>
    <x v="2"/>
    <x v="1"/>
    <s v="no"/>
    <x v="1"/>
    <x v="1"/>
    <n v="122000"/>
    <n v="122000"/>
    <x v="1"/>
    <x v="0"/>
  </r>
  <r>
    <n v="12939"/>
    <x v="121"/>
    <x v="28"/>
    <n v="57"/>
    <n v="18"/>
    <x v="1"/>
    <x v="3"/>
    <x v="3"/>
    <s v="no"/>
    <x v="0"/>
    <x v="3"/>
    <n v="75408"/>
    <n v="37704"/>
    <x v="2"/>
    <x v="1"/>
  </r>
  <r>
    <n v="5980"/>
    <x v="31"/>
    <x v="142"/>
    <n v="52"/>
    <n v="14"/>
    <x v="1"/>
    <x v="4"/>
    <x v="2"/>
    <s v="no"/>
    <x v="3"/>
    <x v="2"/>
    <n v="91800"/>
    <n v="73440"/>
    <x v="0"/>
    <x v="1"/>
  </r>
  <r>
    <n v="18361"/>
    <x v="51"/>
    <x v="143"/>
    <n v="43"/>
    <n v="20"/>
    <x v="0"/>
    <x v="0"/>
    <x v="3"/>
    <s v="no"/>
    <x v="3"/>
    <x v="3"/>
    <n v="68000"/>
    <n v="54400"/>
    <x v="2"/>
    <x v="0"/>
  </r>
  <r>
    <n v="18065"/>
    <x v="122"/>
    <x v="144"/>
    <n v="45"/>
    <n v="13"/>
    <x v="0"/>
    <x v="0"/>
    <x v="0"/>
    <s v="no"/>
    <x v="0"/>
    <x v="1"/>
    <n v="98000"/>
    <n v="49000"/>
    <x v="0"/>
    <x v="1"/>
  </r>
  <r>
    <n v="705"/>
    <x v="123"/>
    <x v="145"/>
    <n v="64"/>
    <n v="43"/>
    <x v="0"/>
    <x v="3"/>
    <x v="2"/>
    <s v="no"/>
    <x v="3"/>
    <x v="2"/>
    <n v="85000"/>
    <n v="68000"/>
    <x v="0"/>
    <x v="1"/>
  </r>
  <r>
    <n v="20313"/>
    <x v="124"/>
    <x v="146"/>
    <n v="53"/>
    <n v="8"/>
    <x v="0"/>
    <x v="0"/>
    <x v="5"/>
    <s v="yes"/>
    <x v="5"/>
    <x v="0"/>
    <n v="115000"/>
    <n v="69000"/>
    <x v="0"/>
    <x v="1"/>
  </r>
  <r>
    <n v="11308"/>
    <x v="125"/>
    <x v="132"/>
    <n v="46"/>
    <n v="24"/>
    <x v="0"/>
    <x v="3"/>
    <x v="3"/>
    <s v="yes"/>
    <x v="2"/>
    <x v="3"/>
    <n v="68000"/>
    <n v="13600"/>
    <x v="0"/>
    <x v="1"/>
  </r>
  <r>
    <n v="16697"/>
    <x v="126"/>
    <x v="147"/>
    <n v="29"/>
    <n v="1"/>
    <x v="1"/>
    <x v="3"/>
    <x v="2"/>
    <s v="no"/>
    <x v="1"/>
    <x v="2"/>
    <n v="100951"/>
    <n v="100951"/>
    <x v="1"/>
    <x v="0"/>
  </r>
  <r>
    <n v="1325"/>
    <x v="127"/>
    <x v="148"/>
    <n v="46"/>
    <n v="18"/>
    <x v="1"/>
    <x v="0"/>
    <x v="2"/>
    <s v="no"/>
    <x v="1"/>
    <x v="1"/>
    <n v="122000"/>
    <n v="122000"/>
    <x v="1"/>
    <x v="1"/>
  </r>
  <r>
    <n v="4352"/>
    <x v="128"/>
    <x v="149"/>
    <n v="59"/>
    <n v="2"/>
    <x v="1"/>
    <x v="4"/>
    <x v="2"/>
    <s v="no"/>
    <x v="1"/>
    <x v="2"/>
    <n v="92665"/>
    <n v="92665"/>
    <x v="2"/>
    <x v="1"/>
  </r>
  <r>
    <n v="12581"/>
    <x v="129"/>
    <x v="24"/>
    <n v="60"/>
    <n v="35"/>
    <x v="0"/>
    <x v="3"/>
    <x v="0"/>
    <s v="yes"/>
    <x v="5"/>
    <x v="0"/>
    <n v="115000"/>
    <n v="69000"/>
    <x v="0"/>
    <x v="1"/>
  </r>
  <r>
    <n v="10763"/>
    <x v="130"/>
    <x v="54"/>
    <n v="55"/>
    <n v="17"/>
    <x v="0"/>
    <x v="2"/>
    <x v="2"/>
    <s v="no"/>
    <x v="0"/>
    <x v="3"/>
    <n v="68000"/>
    <n v="34000"/>
    <x v="0"/>
    <x v="1"/>
  </r>
  <r>
    <n v="8533"/>
    <x v="131"/>
    <x v="150"/>
    <n v="58"/>
    <n v="7"/>
    <x v="0"/>
    <x v="3"/>
    <x v="1"/>
    <s v="no"/>
    <x v="1"/>
    <x v="2"/>
    <n v="88745"/>
    <n v="88745"/>
    <x v="2"/>
    <x v="1"/>
  </r>
  <r>
    <n v="2585"/>
    <x v="132"/>
    <x v="151"/>
    <n v="29"/>
    <n v="10"/>
    <x v="1"/>
    <x v="3"/>
    <x v="6"/>
    <s v="no"/>
    <x v="5"/>
    <x v="1"/>
    <n v="105840"/>
    <n v="63504"/>
    <x v="2"/>
    <x v="0"/>
  </r>
  <r>
    <n v="8579"/>
    <x v="133"/>
    <x v="152"/>
    <n v="31"/>
    <n v="1"/>
    <x v="1"/>
    <x v="3"/>
    <x v="4"/>
    <s v="no"/>
    <x v="3"/>
    <x v="0"/>
    <n v="127218"/>
    <n v="101774.39999999999"/>
    <x v="0"/>
    <x v="0"/>
  </r>
  <r>
    <n v="19278"/>
    <x v="134"/>
    <x v="153"/>
    <n v="34"/>
    <n v="15"/>
    <x v="1"/>
    <x v="3"/>
    <x v="2"/>
    <s v="no"/>
    <x v="1"/>
    <x v="2"/>
    <n v="101260"/>
    <n v="101260"/>
    <x v="1"/>
    <x v="0"/>
  </r>
  <r>
    <n v="3267"/>
    <x v="35"/>
    <x v="154"/>
    <n v="59"/>
    <n v="22"/>
    <x v="1"/>
    <x v="2"/>
    <x v="3"/>
    <s v="no"/>
    <x v="3"/>
    <x v="3"/>
    <n v="73440"/>
    <n v="58752"/>
    <x v="0"/>
    <x v="1"/>
  </r>
  <r>
    <n v="3493"/>
    <x v="135"/>
    <x v="155"/>
    <n v="38"/>
    <n v="13"/>
    <x v="0"/>
    <x v="0"/>
    <x v="0"/>
    <s v="yes"/>
    <x v="1"/>
    <x v="2"/>
    <n v="85000"/>
    <n v="85000"/>
    <x v="0"/>
    <x v="0"/>
  </r>
  <r>
    <n v="16611"/>
    <x v="136"/>
    <x v="156"/>
    <n v="35"/>
    <n v="16"/>
    <x v="1"/>
    <x v="1"/>
    <x v="1"/>
    <s v="no"/>
    <x v="0"/>
    <x v="1"/>
    <n v="113606"/>
    <n v="56803"/>
    <x v="1"/>
    <x v="0"/>
  </r>
  <r>
    <n v="2954"/>
    <x v="137"/>
    <x v="157"/>
    <n v="31"/>
    <n v="8"/>
    <x v="0"/>
    <x v="0"/>
    <x v="2"/>
    <s v="no"/>
    <x v="1"/>
    <x v="2"/>
    <n v="85000"/>
    <n v="85000"/>
    <x v="2"/>
    <x v="0"/>
  </r>
  <r>
    <n v="18142"/>
    <x v="138"/>
    <x v="158"/>
    <n v="43"/>
    <n v="12"/>
    <x v="0"/>
    <x v="3"/>
    <x v="3"/>
    <s v="no"/>
    <x v="3"/>
    <x v="2"/>
    <n v="85000"/>
    <n v="68000"/>
    <x v="2"/>
    <x v="0"/>
  </r>
  <r>
    <n v="4807"/>
    <x v="139"/>
    <x v="159"/>
    <n v="44"/>
    <n v="9"/>
    <x v="0"/>
    <x v="3"/>
    <x v="1"/>
    <s v="no"/>
    <x v="5"/>
    <x v="2"/>
    <n v="85000"/>
    <n v="51000"/>
    <x v="0"/>
    <x v="0"/>
  </r>
  <r>
    <n v="4894"/>
    <x v="140"/>
    <x v="126"/>
    <n v="33"/>
    <n v="14"/>
    <x v="0"/>
    <x v="3"/>
    <x v="4"/>
    <s v="no"/>
    <x v="0"/>
    <x v="0"/>
    <n v="115000"/>
    <n v="57500"/>
    <x v="2"/>
    <x v="0"/>
  </r>
  <r>
    <n v="22305"/>
    <x v="16"/>
    <x v="160"/>
    <n v="29"/>
    <n v="4"/>
    <x v="1"/>
    <x v="1"/>
    <x v="2"/>
    <s v="no"/>
    <x v="1"/>
    <x v="1"/>
    <n v="108283"/>
    <n v="108283"/>
    <x v="2"/>
    <x v="0"/>
  </r>
  <r>
    <n v="16261"/>
    <x v="53"/>
    <x v="88"/>
    <n v="43"/>
    <n v="2"/>
    <x v="0"/>
    <x v="2"/>
    <x v="1"/>
    <s v="no"/>
    <x v="0"/>
    <x v="2"/>
    <n v="92582"/>
    <n v="46291"/>
    <x v="2"/>
    <x v="0"/>
  </r>
  <r>
    <n v="18702"/>
    <x v="35"/>
    <x v="161"/>
    <n v="44"/>
    <n v="23"/>
    <x v="1"/>
    <x v="3"/>
    <x v="2"/>
    <s v="no"/>
    <x v="3"/>
    <x v="3"/>
    <n v="74449"/>
    <n v="59559.199999999997"/>
    <x v="2"/>
    <x v="0"/>
  </r>
  <r>
    <n v="6097"/>
    <x v="141"/>
    <x v="109"/>
    <n v="33"/>
    <n v="15"/>
    <x v="1"/>
    <x v="1"/>
    <x v="2"/>
    <s v="no"/>
    <x v="1"/>
    <x v="1"/>
    <n v="122000"/>
    <n v="122000"/>
    <x v="1"/>
    <x v="0"/>
  </r>
  <r>
    <n v="9372"/>
    <x v="142"/>
    <x v="162"/>
    <n v="32"/>
    <n v="14"/>
    <x v="0"/>
    <x v="1"/>
    <x v="6"/>
    <s v="no"/>
    <x v="5"/>
    <x v="4"/>
    <n v="130000"/>
    <n v="78000"/>
    <x v="0"/>
    <x v="0"/>
  </r>
  <r>
    <n v="17977"/>
    <x v="37"/>
    <x v="163"/>
    <n v="53"/>
    <n v="35"/>
    <x v="1"/>
    <x v="1"/>
    <x v="2"/>
    <s v="no"/>
    <x v="0"/>
    <x v="1"/>
    <n v="105840"/>
    <n v="52920"/>
    <x v="2"/>
    <x v="1"/>
  </r>
  <r>
    <n v="20563"/>
    <x v="6"/>
    <x v="164"/>
    <n v="52"/>
    <n v="17"/>
    <x v="1"/>
    <x v="1"/>
    <x v="2"/>
    <s v="no"/>
    <x v="1"/>
    <x v="1"/>
    <n v="109726"/>
    <n v="109726"/>
    <x v="2"/>
    <x v="1"/>
  </r>
  <r>
    <n v="14552"/>
    <x v="87"/>
    <x v="165"/>
    <n v="22"/>
    <n v="4"/>
    <x v="0"/>
    <x v="3"/>
    <x v="3"/>
    <s v="no"/>
    <x v="0"/>
    <x v="2"/>
    <n v="85000"/>
    <n v="42500"/>
    <x v="0"/>
    <x v="2"/>
  </r>
  <r>
    <n v="7627"/>
    <x v="125"/>
    <x v="166"/>
    <n v="22"/>
    <n v="4"/>
    <x v="0"/>
    <x v="2"/>
    <x v="3"/>
    <s v="no"/>
    <x v="3"/>
    <x v="3"/>
    <n v="68000"/>
    <n v="54400"/>
    <x v="0"/>
    <x v="2"/>
  </r>
  <r>
    <n v="18358"/>
    <x v="143"/>
    <x v="1"/>
    <n v="22"/>
    <n v="4"/>
    <x v="1"/>
    <x v="3"/>
    <x v="1"/>
    <s v="no"/>
    <x v="3"/>
    <x v="0"/>
    <n v="128812"/>
    <n v="103049.60000000001"/>
    <x v="0"/>
    <x v="2"/>
  </r>
  <r>
    <n v="7278"/>
    <x v="144"/>
    <x v="167"/>
    <n v="28"/>
    <n v="7"/>
    <x v="0"/>
    <x v="0"/>
    <x v="1"/>
    <s v="no"/>
    <x v="1"/>
    <x v="2"/>
    <n v="90889"/>
    <n v="90889"/>
    <x v="1"/>
    <x v="0"/>
  </r>
  <r>
    <n v="10901"/>
    <x v="145"/>
    <x v="168"/>
    <n v="46"/>
    <n v="23"/>
    <x v="1"/>
    <x v="1"/>
    <x v="3"/>
    <s v="yes"/>
    <x v="0"/>
    <x v="0"/>
    <n v="128296"/>
    <n v="64148"/>
    <x v="2"/>
    <x v="1"/>
  </r>
  <r>
    <n v="13761"/>
    <x v="146"/>
    <x v="169"/>
    <n v="53"/>
    <n v="29"/>
    <x v="1"/>
    <x v="0"/>
    <x v="0"/>
    <s v="no"/>
    <x v="0"/>
    <x v="0"/>
    <n v="138000"/>
    <n v="69000"/>
    <x v="2"/>
    <x v="1"/>
  </r>
  <r>
    <n v="22696"/>
    <x v="147"/>
    <x v="170"/>
    <n v="51"/>
    <n v="7"/>
    <x v="0"/>
    <x v="1"/>
    <x v="1"/>
    <s v="no"/>
    <x v="4"/>
    <x v="0"/>
    <n v="115000"/>
    <n v="46000"/>
    <x v="1"/>
    <x v="1"/>
  </r>
  <r>
    <n v="12923"/>
    <x v="63"/>
    <x v="171"/>
    <n v="36"/>
    <n v="1"/>
    <x v="0"/>
    <x v="2"/>
    <x v="0"/>
    <s v="yes"/>
    <x v="5"/>
    <x v="2"/>
    <n v="86154"/>
    <n v="51692.4"/>
    <x v="2"/>
    <x v="0"/>
  </r>
  <r>
    <n v="15042"/>
    <x v="148"/>
    <x v="13"/>
    <n v="58"/>
    <n v="21"/>
    <x v="0"/>
    <x v="1"/>
    <x v="0"/>
    <s v="no"/>
    <x v="0"/>
    <x v="0"/>
    <n v="123856"/>
    <n v="61928"/>
    <x v="2"/>
    <x v="1"/>
  </r>
  <r>
    <n v="17646"/>
    <x v="70"/>
    <x v="24"/>
    <n v="57"/>
    <n v="30"/>
    <x v="1"/>
    <x v="0"/>
    <x v="2"/>
    <s v="yes"/>
    <x v="1"/>
    <x v="3"/>
    <n v="84780"/>
    <n v="84780"/>
    <x v="2"/>
    <x v="1"/>
  </r>
  <r>
    <n v="15481"/>
    <x v="149"/>
    <x v="12"/>
    <n v="62"/>
    <n v="39"/>
    <x v="1"/>
    <x v="2"/>
    <x v="5"/>
    <s v="yes"/>
    <x v="0"/>
    <x v="0"/>
    <n v="124200"/>
    <n v="62100"/>
    <x v="2"/>
    <x v="1"/>
  </r>
  <r>
    <n v="4652"/>
    <x v="150"/>
    <x v="119"/>
    <n v="52"/>
    <n v="5"/>
    <x v="1"/>
    <x v="1"/>
    <x v="2"/>
    <s v="no"/>
    <x v="3"/>
    <x v="1"/>
    <n v="117648"/>
    <n v="94118.399999999994"/>
    <x v="0"/>
    <x v="1"/>
  </r>
  <r>
    <n v="8810"/>
    <x v="114"/>
    <x v="172"/>
    <n v="49"/>
    <n v="30"/>
    <x v="1"/>
    <x v="4"/>
    <x v="1"/>
    <s v="no"/>
    <x v="3"/>
    <x v="0"/>
    <n v="129138"/>
    <n v="103310.39999999999"/>
    <x v="2"/>
    <x v="1"/>
  </r>
  <r>
    <n v="8049"/>
    <x v="151"/>
    <x v="173"/>
    <n v="34"/>
    <n v="16"/>
    <x v="1"/>
    <x v="3"/>
    <x v="3"/>
    <s v="no"/>
    <x v="3"/>
    <x v="3"/>
    <n v="84402"/>
    <n v="67521.600000000006"/>
    <x v="2"/>
    <x v="0"/>
  </r>
  <r>
    <n v="2785"/>
    <x v="152"/>
    <x v="174"/>
    <n v="46"/>
    <n v="18"/>
    <x v="0"/>
    <x v="3"/>
    <x v="1"/>
    <s v="no"/>
    <x v="1"/>
    <x v="2"/>
    <n v="95585"/>
    <n v="95585"/>
    <x v="2"/>
    <x v="1"/>
  </r>
  <r>
    <n v="11765"/>
    <x v="153"/>
    <x v="175"/>
    <n v="52"/>
    <n v="19"/>
    <x v="1"/>
    <x v="4"/>
    <x v="4"/>
    <s v="yes"/>
    <x v="0"/>
    <x v="1"/>
    <n v="105840"/>
    <n v="52920"/>
    <x v="0"/>
    <x v="1"/>
  </r>
  <r>
    <n v="1376"/>
    <x v="46"/>
    <x v="176"/>
    <n v="49"/>
    <n v="23"/>
    <x v="0"/>
    <x v="2"/>
    <x v="1"/>
    <s v="no"/>
    <x v="0"/>
    <x v="1"/>
    <n v="98000"/>
    <n v="49000"/>
    <x v="0"/>
    <x v="1"/>
  </r>
  <r>
    <n v="19964"/>
    <x v="154"/>
    <x v="25"/>
    <n v="47"/>
    <n v="13"/>
    <x v="0"/>
    <x v="2"/>
    <x v="2"/>
    <s v="no"/>
    <x v="1"/>
    <x v="1"/>
    <n v="103090"/>
    <n v="103090"/>
    <x v="2"/>
    <x v="1"/>
  </r>
  <r>
    <n v="18837"/>
    <x v="155"/>
    <x v="177"/>
    <n v="29"/>
    <n v="9"/>
    <x v="1"/>
    <x v="3"/>
    <x v="1"/>
    <s v="no"/>
    <x v="0"/>
    <x v="0"/>
    <n v="124200"/>
    <n v="62100"/>
    <x v="2"/>
    <x v="0"/>
  </r>
  <r>
    <n v="8227"/>
    <x v="156"/>
    <x v="112"/>
    <n v="28"/>
    <n v="0"/>
    <x v="1"/>
    <x v="0"/>
    <x v="0"/>
    <s v="no"/>
    <x v="1"/>
    <x v="4"/>
    <n v="140796"/>
    <n v="140796"/>
    <x v="2"/>
    <x v="0"/>
  </r>
  <r>
    <n v="19969"/>
    <x v="61"/>
    <x v="123"/>
    <n v="45"/>
    <n v="7"/>
    <x v="1"/>
    <x v="2"/>
    <x v="4"/>
    <s v="yes"/>
    <x v="3"/>
    <x v="4"/>
    <n v="140400"/>
    <n v="112320"/>
    <x v="2"/>
    <x v="1"/>
  </r>
  <r>
    <n v="7903"/>
    <x v="157"/>
    <x v="178"/>
    <n v="26"/>
    <n v="1"/>
    <x v="1"/>
    <x v="1"/>
    <x v="3"/>
    <s v="no"/>
    <x v="5"/>
    <x v="3"/>
    <n v="73688"/>
    <n v="44212.800000000003"/>
    <x v="0"/>
    <x v="0"/>
  </r>
  <r>
    <n v="922"/>
    <x v="158"/>
    <x v="179"/>
    <n v="49"/>
    <n v="31"/>
    <x v="0"/>
    <x v="2"/>
    <x v="3"/>
    <s v="yes"/>
    <x v="3"/>
    <x v="3"/>
    <n v="68582"/>
    <n v="54865.599999999999"/>
    <x v="2"/>
    <x v="1"/>
  </r>
  <r>
    <n v="3013"/>
    <x v="156"/>
    <x v="180"/>
    <n v="53"/>
    <n v="19"/>
    <x v="1"/>
    <x v="4"/>
    <x v="2"/>
    <s v="no"/>
    <x v="1"/>
    <x v="1"/>
    <n v="122000"/>
    <n v="122000"/>
    <x v="1"/>
    <x v="1"/>
  </r>
  <r>
    <n v="21366"/>
    <x v="159"/>
    <x v="181"/>
    <n v="46"/>
    <n v="7"/>
    <x v="1"/>
    <x v="0"/>
    <x v="2"/>
    <s v="no"/>
    <x v="1"/>
    <x v="1"/>
    <n v="106334"/>
    <n v="106334"/>
    <x v="2"/>
    <x v="1"/>
  </r>
  <r>
    <n v="19842"/>
    <x v="93"/>
    <x v="107"/>
    <n v="32"/>
    <n v="13"/>
    <x v="1"/>
    <x v="1"/>
    <x v="0"/>
    <s v="no"/>
    <x v="0"/>
    <x v="1"/>
    <n v="112109"/>
    <n v="56054.5"/>
    <x v="1"/>
    <x v="0"/>
  </r>
  <r>
    <n v="2616"/>
    <x v="160"/>
    <x v="182"/>
    <n v="40"/>
    <n v="5"/>
    <x v="1"/>
    <x v="4"/>
    <x v="0"/>
    <s v="yes"/>
    <x v="3"/>
    <x v="1"/>
    <n v="114243"/>
    <n v="91394.4"/>
    <x v="0"/>
    <x v="0"/>
  </r>
  <r>
    <n v="8188"/>
    <x v="161"/>
    <x v="183"/>
    <n v="49"/>
    <n v="20"/>
    <x v="1"/>
    <x v="0"/>
    <x v="1"/>
    <s v="no"/>
    <x v="1"/>
    <x v="2"/>
    <n v="99617"/>
    <n v="99617"/>
    <x v="1"/>
    <x v="1"/>
  </r>
  <r>
    <n v="2895"/>
    <x v="156"/>
    <x v="184"/>
    <n v="30"/>
    <n v="10"/>
    <x v="1"/>
    <x v="1"/>
    <x v="1"/>
    <s v="no"/>
    <x v="1"/>
    <x v="1"/>
    <n v="108752"/>
    <n v="108752"/>
    <x v="2"/>
    <x v="0"/>
  </r>
  <r>
    <n v="1716"/>
    <x v="162"/>
    <x v="185"/>
    <n v="43"/>
    <n v="10"/>
    <x v="1"/>
    <x v="0"/>
    <x v="1"/>
    <s v="no"/>
    <x v="0"/>
    <x v="2"/>
    <n v="107000"/>
    <n v="53500"/>
    <x v="1"/>
    <x v="0"/>
  </r>
  <r>
    <n v="19272"/>
    <x v="81"/>
    <x v="93"/>
    <n v="40"/>
    <n v="19"/>
    <x v="0"/>
    <x v="3"/>
    <x v="0"/>
    <s v="no"/>
    <x v="0"/>
    <x v="1"/>
    <n v="106129"/>
    <n v="53064.5"/>
    <x v="2"/>
    <x v="0"/>
  </r>
  <r>
    <n v="11514"/>
    <x v="29"/>
    <x v="155"/>
    <n v="28"/>
    <n v="3"/>
    <x v="1"/>
    <x v="1"/>
    <x v="2"/>
    <s v="no"/>
    <x v="1"/>
    <x v="1"/>
    <n v="122000"/>
    <n v="122000"/>
    <x v="1"/>
    <x v="0"/>
  </r>
  <r>
    <n v="3008"/>
    <x v="163"/>
    <x v="186"/>
    <n v="52"/>
    <n v="24"/>
    <x v="0"/>
    <x v="0"/>
    <x v="2"/>
    <s v="no"/>
    <x v="1"/>
    <x v="3"/>
    <n v="80011"/>
    <n v="80011"/>
    <x v="2"/>
    <x v="1"/>
  </r>
  <r>
    <n v="17534"/>
    <x v="164"/>
    <x v="187"/>
    <n v="51"/>
    <n v="2"/>
    <x v="1"/>
    <x v="1"/>
    <x v="4"/>
    <s v="yes"/>
    <x v="3"/>
    <x v="4"/>
    <n v="140400"/>
    <n v="112320"/>
    <x v="2"/>
    <x v="1"/>
  </r>
  <r>
    <n v="8485"/>
    <x v="61"/>
    <x v="188"/>
    <n v="54"/>
    <n v="25"/>
    <x v="1"/>
    <x v="3"/>
    <x v="2"/>
    <s v="no"/>
    <x v="1"/>
    <x v="1"/>
    <n v="106943"/>
    <n v="133678.75"/>
    <x v="1"/>
    <x v="1"/>
  </r>
  <r>
    <n v="9812"/>
    <x v="30"/>
    <x v="189"/>
    <n v="27"/>
    <n v="8"/>
    <x v="0"/>
    <x v="1"/>
    <x v="1"/>
    <s v="no"/>
    <x v="1"/>
    <x v="2"/>
    <n v="90887"/>
    <n v="90887"/>
    <x v="1"/>
    <x v="0"/>
  </r>
  <r>
    <n v="22608"/>
    <x v="165"/>
    <x v="190"/>
    <n v="52"/>
    <n v="6"/>
    <x v="0"/>
    <x v="4"/>
    <x v="2"/>
    <s v="no"/>
    <x v="1"/>
    <x v="2"/>
    <n v="85000"/>
    <n v="85000"/>
    <x v="2"/>
    <x v="1"/>
  </r>
  <r>
    <n v="16593"/>
    <x v="166"/>
    <x v="65"/>
    <n v="25"/>
    <n v="5"/>
    <x v="0"/>
    <x v="4"/>
    <x v="4"/>
    <s v="no"/>
    <x v="3"/>
    <x v="4"/>
    <n v="130000"/>
    <n v="104000"/>
    <x v="0"/>
    <x v="0"/>
  </r>
  <r>
    <n v="7707"/>
    <x v="167"/>
    <x v="60"/>
    <n v="52"/>
    <n v="5"/>
    <x v="1"/>
    <x v="0"/>
    <x v="6"/>
    <s v="no"/>
    <x v="1"/>
    <x v="2"/>
    <n v="107000"/>
    <n v="107000"/>
    <x v="2"/>
    <x v="1"/>
  </r>
  <r>
    <n v="18356"/>
    <x v="139"/>
    <x v="13"/>
    <n v="32"/>
    <n v="7"/>
    <x v="0"/>
    <x v="1"/>
    <x v="2"/>
    <s v="no"/>
    <x v="3"/>
    <x v="3"/>
    <n v="68449"/>
    <n v="54759.199999999997"/>
    <x v="0"/>
    <x v="0"/>
  </r>
  <r>
    <n v="5022"/>
    <x v="168"/>
    <x v="191"/>
    <n v="39"/>
    <n v="16"/>
    <x v="0"/>
    <x v="2"/>
    <x v="2"/>
    <s v="yes"/>
    <x v="5"/>
    <x v="3"/>
    <n v="68000"/>
    <n v="40800"/>
    <x v="1"/>
    <x v="0"/>
  </r>
  <r>
    <n v="19398"/>
    <x v="169"/>
    <x v="192"/>
    <n v="41"/>
    <n v="19"/>
    <x v="1"/>
    <x v="1"/>
    <x v="2"/>
    <s v="no"/>
    <x v="1"/>
    <x v="1"/>
    <n v="122000"/>
    <n v="122000"/>
    <x v="2"/>
    <x v="0"/>
  </r>
  <r>
    <n v="19568"/>
    <x v="18"/>
    <x v="193"/>
    <n v="60"/>
    <n v="32"/>
    <x v="0"/>
    <x v="2"/>
    <x v="2"/>
    <s v="no"/>
    <x v="1"/>
    <x v="1"/>
    <n v="108428"/>
    <n v="108428"/>
    <x v="2"/>
    <x v="1"/>
  </r>
  <r>
    <n v="16175"/>
    <x v="170"/>
    <x v="194"/>
    <n v="56"/>
    <n v="34"/>
    <x v="0"/>
    <x v="3"/>
    <x v="3"/>
    <s v="no"/>
    <x v="0"/>
    <x v="3"/>
    <n v="68000"/>
    <n v="34000"/>
    <x v="2"/>
    <x v="1"/>
  </r>
  <r>
    <n v="8649"/>
    <x v="171"/>
    <x v="146"/>
    <n v="23"/>
    <n v="4"/>
    <x v="1"/>
    <x v="4"/>
    <x v="1"/>
    <s v="no"/>
    <x v="1"/>
    <x v="0"/>
    <n v="138000"/>
    <n v="138000"/>
    <x v="2"/>
    <x v="2"/>
  </r>
  <r>
    <n v="16185"/>
    <x v="172"/>
    <x v="195"/>
    <n v="40"/>
    <n v="20"/>
    <x v="0"/>
    <x v="4"/>
    <x v="6"/>
    <s v="no"/>
    <x v="5"/>
    <x v="2"/>
    <n v="85000"/>
    <n v="51000"/>
    <x v="0"/>
    <x v="0"/>
  </r>
  <r>
    <n v="14025"/>
    <x v="173"/>
    <x v="196"/>
    <n v="38"/>
    <n v="10"/>
    <x v="1"/>
    <x v="2"/>
    <x v="3"/>
    <s v="no"/>
    <x v="3"/>
    <x v="0"/>
    <n v="131486"/>
    <n v="105188.8"/>
    <x v="1"/>
    <x v="0"/>
  </r>
  <r>
    <n v="21286"/>
    <x v="46"/>
    <x v="51"/>
    <n v="35"/>
    <n v="11"/>
    <x v="0"/>
    <x v="0"/>
    <x v="0"/>
    <s v="no"/>
    <x v="0"/>
    <x v="1"/>
    <n v="107354"/>
    <n v="53677"/>
    <x v="2"/>
    <x v="0"/>
  </r>
  <r>
    <n v="6926"/>
    <x v="16"/>
    <x v="197"/>
    <n v="46"/>
    <n v="28"/>
    <x v="1"/>
    <x v="1"/>
    <x v="1"/>
    <s v="yes"/>
    <x v="3"/>
    <x v="0"/>
    <n v="124200"/>
    <n v="99360"/>
    <x v="0"/>
    <x v="1"/>
  </r>
  <r>
    <n v="3777"/>
    <x v="139"/>
    <x v="198"/>
    <n v="39"/>
    <n v="19"/>
    <x v="0"/>
    <x v="2"/>
    <x v="3"/>
    <s v="no"/>
    <x v="1"/>
    <x v="0"/>
    <n v="115000"/>
    <n v="115000"/>
    <x v="2"/>
    <x v="0"/>
  </r>
  <r>
    <n v="3863"/>
    <x v="174"/>
    <x v="199"/>
    <n v="23"/>
    <n v="2"/>
    <x v="1"/>
    <x v="2"/>
    <x v="3"/>
    <s v="no"/>
    <x v="1"/>
    <x v="2"/>
    <n v="100443"/>
    <n v="100443"/>
    <x v="1"/>
    <x v="2"/>
  </r>
  <r>
    <n v="22280"/>
    <x v="175"/>
    <x v="200"/>
    <n v="50"/>
    <n v="27"/>
    <x v="1"/>
    <x v="0"/>
    <x v="4"/>
    <s v="yes"/>
    <x v="1"/>
    <x v="4"/>
    <n v="153810"/>
    <n v="153810"/>
    <x v="2"/>
    <x v="1"/>
  </r>
  <r>
    <n v="14811"/>
    <x v="176"/>
    <x v="41"/>
    <n v="64"/>
    <n v="8"/>
    <x v="0"/>
    <x v="4"/>
    <x v="0"/>
    <s v="yes"/>
    <x v="5"/>
    <x v="1"/>
    <n v="98000"/>
    <n v="58800"/>
    <x v="0"/>
    <x v="1"/>
  </r>
  <r>
    <n v="12296"/>
    <x v="153"/>
    <x v="201"/>
    <n v="36"/>
    <n v="18"/>
    <x v="1"/>
    <x v="0"/>
    <x v="4"/>
    <s v="no"/>
    <x v="1"/>
    <x v="0"/>
    <n v="127620"/>
    <n v="127620"/>
    <x v="0"/>
    <x v="0"/>
  </r>
  <r>
    <n v="14566"/>
    <x v="167"/>
    <x v="198"/>
    <n v="43"/>
    <n v="12"/>
    <x v="1"/>
    <x v="0"/>
    <x v="2"/>
    <s v="no"/>
    <x v="1"/>
    <x v="3"/>
    <n v="75079"/>
    <n v="75079"/>
    <x v="0"/>
    <x v="0"/>
  </r>
  <r>
    <n v="14157"/>
    <x v="152"/>
    <x v="49"/>
    <n v="59"/>
    <n v="18"/>
    <x v="0"/>
    <x v="0"/>
    <x v="3"/>
    <s v="no"/>
    <x v="1"/>
    <x v="3"/>
    <n v="68000"/>
    <n v="68000"/>
    <x v="0"/>
    <x v="1"/>
  </r>
  <r>
    <n v="15990"/>
    <x v="139"/>
    <x v="202"/>
    <n v="58"/>
    <n v="5"/>
    <x v="0"/>
    <x v="1"/>
    <x v="3"/>
    <s v="no"/>
    <x v="3"/>
    <x v="1"/>
    <n v="98000"/>
    <n v="78400"/>
    <x v="0"/>
    <x v="1"/>
  </r>
  <r>
    <n v="2462"/>
    <x v="177"/>
    <x v="203"/>
    <n v="26"/>
    <n v="2"/>
    <x v="0"/>
    <x v="4"/>
    <x v="2"/>
    <s v="no"/>
    <x v="0"/>
    <x v="2"/>
    <n v="85000"/>
    <n v="42500"/>
    <x v="2"/>
    <x v="0"/>
  </r>
  <r>
    <n v="22099"/>
    <x v="178"/>
    <x v="204"/>
    <n v="59"/>
    <n v="27"/>
    <x v="1"/>
    <x v="3"/>
    <x v="2"/>
    <s v="no"/>
    <x v="1"/>
    <x v="1"/>
    <n v="114544"/>
    <n v="114544"/>
    <x v="1"/>
    <x v="1"/>
  </r>
  <r>
    <n v="21861"/>
    <x v="179"/>
    <x v="205"/>
    <n v="30"/>
    <n v="5"/>
    <x v="1"/>
    <x v="0"/>
    <x v="1"/>
    <s v="no"/>
    <x v="0"/>
    <x v="1"/>
    <n v="108320"/>
    <n v="54160"/>
    <x v="2"/>
    <x v="0"/>
  </r>
  <r>
    <n v="3911"/>
    <x v="103"/>
    <x v="206"/>
    <n v="37"/>
    <n v="18"/>
    <x v="0"/>
    <x v="1"/>
    <x v="1"/>
    <s v="no"/>
    <x v="5"/>
    <x v="4"/>
    <n v="130000"/>
    <n v="78000"/>
    <x v="0"/>
    <x v="0"/>
  </r>
  <r>
    <n v="2673"/>
    <x v="180"/>
    <x v="207"/>
    <n v="31"/>
    <n v="4"/>
    <x v="1"/>
    <x v="3"/>
    <x v="3"/>
    <s v="no"/>
    <x v="1"/>
    <x v="2"/>
    <n v="93549"/>
    <n v="93549"/>
    <x v="2"/>
    <x v="0"/>
  </r>
  <r>
    <n v="13880"/>
    <x v="181"/>
    <x v="208"/>
    <n v="36"/>
    <n v="3"/>
    <x v="0"/>
    <x v="0"/>
    <x v="3"/>
    <s v="yes"/>
    <x v="3"/>
    <x v="4"/>
    <n v="130000"/>
    <n v="104000"/>
    <x v="0"/>
    <x v="0"/>
  </r>
  <r>
    <n v="11805"/>
    <x v="160"/>
    <x v="18"/>
    <n v="35"/>
    <n v="16"/>
    <x v="1"/>
    <x v="1"/>
    <x v="2"/>
    <s v="no"/>
    <x v="1"/>
    <x v="1"/>
    <n v="118223"/>
    <n v="118223"/>
    <x v="1"/>
    <x v="0"/>
  </r>
  <r>
    <n v="4267"/>
    <x v="182"/>
    <x v="209"/>
    <n v="56"/>
    <n v="7"/>
    <x v="0"/>
    <x v="0"/>
    <x v="1"/>
    <s v="no"/>
    <x v="0"/>
    <x v="1"/>
    <n v="104930"/>
    <n v="52465"/>
    <x v="2"/>
    <x v="1"/>
  </r>
  <r>
    <n v="8834"/>
    <x v="183"/>
    <x v="210"/>
    <n v="38"/>
    <n v="9"/>
    <x v="1"/>
    <x v="3"/>
    <x v="2"/>
    <s v="no"/>
    <x v="1"/>
    <x v="2"/>
    <n v="95119"/>
    <n v="95119"/>
    <x v="2"/>
    <x v="0"/>
  </r>
  <r>
    <n v="6965"/>
    <x v="16"/>
    <x v="211"/>
    <n v="28"/>
    <n v="5"/>
    <x v="1"/>
    <x v="4"/>
    <x v="3"/>
    <s v="no"/>
    <x v="4"/>
    <x v="3"/>
    <n v="73440"/>
    <n v="29376"/>
    <x v="0"/>
    <x v="0"/>
  </r>
  <r>
    <n v="6919"/>
    <x v="184"/>
    <x v="212"/>
    <n v="55"/>
    <n v="25"/>
    <x v="0"/>
    <x v="3"/>
    <x v="5"/>
    <s v="yes"/>
    <x v="4"/>
    <x v="4"/>
    <n v="130000"/>
    <n v="65000"/>
    <x v="0"/>
    <x v="1"/>
  </r>
  <r>
    <n v="18260"/>
    <x v="185"/>
    <x v="9"/>
    <n v="51"/>
    <n v="5"/>
    <x v="1"/>
    <x v="1"/>
    <x v="2"/>
    <s v="no"/>
    <x v="1"/>
    <x v="1"/>
    <n v="122000"/>
    <n v="122000"/>
    <x v="2"/>
    <x v="1"/>
  </r>
  <r>
    <n v="15387"/>
    <x v="186"/>
    <x v="213"/>
    <n v="41"/>
    <n v="23"/>
    <x v="0"/>
    <x v="4"/>
    <x v="2"/>
    <s v="no"/>
    <x v="4"/>
    <x v="3"/>
    <n v="68000"/>
    <n v="27200"/>
    <x v="0"/>
    <x v="0"/>
  </r>
  <r>
    <n v="5280"/>
    <x v="28"/>
    <x v="173"/>
    <n v="59"/>
    <n v="10"/>
    <x v="0"/>
    <x v="3"/>
    <x v="2"/>
    <s v="yes"/>
    <x v="4"/>
    <x v="3"/>
    <n v="68000"/>
    <n v="27200"/>
    <x v="0"/>
    <x v="1"/>
  </r>
  <r>
    <n v="14511"/>
    <x v="187"/>
    <x v="214"/>
    <n v="25"/>
    <n v="0"/>
    <x v="1"/>
    <x v="4"/>
    <x v="1"/>
    <s v="no"/>
    <x v="3"/>
    <x v="4"/>
    <n v="140400"/>
    <n v="112320"/>
    <x v="2"/>
    <x v="0"/>
  </r>
  <r>
    <n v="6699"/>
    <x v="185"/>
    <x v="215"/>
    <n v="34"/>
    <n v="15"/>
    <x v="1"/>
    <x v="3"/>
    <x v="4"/>
    <s v="no"/>
    <x v="2"/>
    <x v="0"/>
    <n v="124200"/>
    <n v="24840"/>
    <x v="2"/>
    <x v="0"/>
  </r>
  <r>
    <n v="9814"/>
    <x v="150"/>
    <x v="216"/>
    <n v="42"/>
    <n v="6"/>
    <x v="1"/>
    <x v="1"/>
    <x v="0"/>
    <s v="no"/>
    <x v="3"/>
    <x v="4"/>
    <n v="140400"/>
    <n v="112320"/>
    <x v="2"/>
    <x v="0"/>
  </r>
  <r>
    <n v="15846"/>
    <x v="188"/>
    <x v="217"/>
    <n v="59"/>
    <n v="28"/>
    <x v="1"/>
    <x v="3"/>
    <x v="2"/>
    <s v="no"/>
    <x v="1"/>
    <x v="1"/>
    <n v="115009"/>
    <n v="115009"/>
    <x v="1"/>
    <x v="1"/>
  </r>
  <r>
    <n v="8872"/>
    <x v="189"/>
    <x v="218"/>
    <n v="42"/>
    <n v="13"/>
    <x v="0"/>
    <x v="1"/>
    <x v="0"/>
    <s v="no"/>
    <x v="0"/>
    <x v="4"/>
    <n v="130000"/>
    <n v="65000"/>
    <x v="0"/>
    <x v="0"/>
  </r>
  <r>
    <n v="3157"/>
    <x v="190"/>
    <x v="89"/>
    <n v="44"/>
    <n v="17"/>
    <x v="0"/>
    <x v="1"/>
    <x v="0"/>
    <s v="no"/>
    <x v="0"/>
    <x v="0"/>
    <n v="115000"/>
    <n v="57500"/>
    <x v="0"/>
    <x v="0"/>
  </r>
  <r>
    <n v="15207"/>
    <x v="191"/>
    <x v="49"/>
    <n v="36"/>
    <n v="8"/>
    <x v="1"/>
    <x v="3"/>
    <x v="2"/>
    <s v="no"/>
    <x v="1"/>
    <x v="1"/>
    <n v="122000"/>
    <n v="122000"/>
    <x v="1"/>
    <x v="0"/>
  </r>
  <r>
    <n v="18720"/>
    <x v="192"/>
    <x v="219"/>
    <n v="58"/>
    <n v="35"/>
    <x v="1"/>
    <x v="0"/>
    <x v="1"/>
    <s v="no"/>
    <x v="1"/>
    <x v="0"/>
    <n v="138000"/>
    <n v="138000"/>
    <x v="2"/>
    <x v="1"/>
  </r>
  <r>
    <n v="3895"/>
    <x v="193"/>
    <x v="220"/>
    <n v="42"/>
    <n v="1"/>
    <x v="1"/>
    <x v="1"/>
    <x v="0"/>
    <s v="no"/>
    <x v="0"/>
    <x v="1"/>
    <n v="122000"/>
    <n v="61000"/>
    <x v="2"/>
    <x v="0"/>
  </r>
  <r>
    <n v="2344"/>
    <x v="182"/>
    <x v="221"/>
    <n v="60"/>
    <n v="13"/>
    <x v="0"/>
    <x v="2"/>
    <x v="0"/>
    <s v="no"/>
    <x v="0"/>
    <x v="0"/>
    <n v="119751"/>
    <n v="59875.5"/>
    <x v="1"/>
    <x v="1"/>
  </r>
  <r>
    <n v="22056"/>
    <x v="39"/>
    <x v="222"/>
    <n v="32"/>
    <n v="14"/>
    <x v="0"/>
    <x v="4"/>
    <x v="1"/>
    <s v="no"/>
    <x v="4"/>
    <x v="0"/>
    <n v="115000"/>
    <n v="46000"/>
    <x v="2"/>
    <x v="0"/>
  </r>
  <r>
    <n v="18400"/>
    <x v="129"/>
    <x v="223"/>
    <n v="26"/>
    <n v="8"/>
    <x v="1"/>
    <x v="0"/>
    <x v="3"/>
    <s v="no"/>
    <x v="1"/>
    <x v="1"/>
    <n v="112648"/>
    <n v="112648"/>
    <x v="2"/>
    <x v="0"/>
  </r>
  <r>
    <n v="1170"/>
    <x v="194"/>
    <x v="51"/>
    <n v="44"/>
    <n v="18"/>
    <x v="0"/>
    <x v="0"/>
    <x v="1"/>
    <s v="no"/>
    <x v="1"/>
    <x v="0"/>
    <n v="125930"/>
    <n v="125930"/>
    <x v="1"/>
    <x v="0"/>
  </r>
  <r>
    <n v="3743"/>
    <x v="195"/>
    <x v="224"/>
    <n v="51"/>
    <n v="23"/>
    <x v="0"/>
    <x v="3"/>
    <x v="2"/>
    <s v="yes"/>
    <x v="5"/>
    <x v="3"/>
    <n v="68000"/>
    <n v="40800"/>
    <x v="0"/>
    <x v="1"/>
  </r>
  <r>
    <n v="8432"/>
    <x v="196"/>
    <x v="225"/>
    <n v="25"/>
    <n v="3"/>
    <x v="1"/>
    <x v="0"/>
    <x v="3"/>
    <s v="no"/>
    <x v="1"/>
    <x v="3"/>
    <n v="84236"/>
    <n v="84236"/>
    <x v="2"/>
    <x v="0"/>
  </r>
  <r>
    <n v="6136"/>
    <x v="197"/>
    <x v="226"/>
    <n v="35"/>
    <n v="0"/>
    <x v="1"/>
    <x v="1"/>
    <x v="2"/>
    <s v="no"/>
    <x v="1"/>
    <x v="2"/>
    <n v="106153"/>
    <n v="106153"/>
    <x v="1"/>
    <x v="0"/>
  </r>
  <r>
    <n v="14004"/>
    <x v="198"/>
    <x v="227"/>
    <n v="49"/>
    <n v="26"/>
    <x v="1"/>
    <x v="3"/>
    <x v="1"/>
    <s v="no"/>
    <x v="0"/>
    <x v="1"/>
    <n v="105840"/>
    <n v="52920"/>
    <x v="0"/>
    <x v="1"/>
  </r>
  <r>
    <n v="16600"/>
    <x v="75"/>
    <x v="228"/>
    <n v="39"/>
    <n v="19"/>
    <x v="1"/>
    <x v="1"/>
    <x v="0"/>
    <s v="no"/>
    <x v="0"/>
    <x v="1"/>
    <n v="122000"/>
    <n v="61000"/>
    <x v="1"/>
    <x v="0"/>
  </r>
  <r>
    <n v="16460"/>
    <x v="199"/>
    <x v="229"/>
    <n v="45"/>
    <n v="7"/>
    <x v="0"/>
    <x v="2"/>
    <x v="1"/>
    <s v="yes"/>
    <x v="4"/>
    <x v="4"/>
    <n v="130000"/>
    <n v="52000"/>
    <x v="2"/>
    <x v="1"/>
  </r>
  <r>
    <n v="7691"/>
    <x v="41"/>
    <x v="230"/>
    <n v="43"/>
    <n v="3"/>
    <x v="1"/>
    <x v="1"/>
    <x v="1"/>
    <s v="no"/>
    <x v="1"/>
    <x v="1"/>
    <n v="106651"/>
    <n v="106651"/>
    <x v="1"/>
    <x v="0"/>
  </r>
  <r>
    <n v="13828"/>
    <x v="200"/>
    <x v="158"/>
    <n v="30"/>
    <n v="8"/>
    <x v="1"/>
    <x v="4"/>
    <x v="1"/>
    <s v="no"/>
    <x v="4"/>
    <x v="1"/>
    <n v="105840"/>
    <n v="42336"/>
    <x v="2"/>
    <x v="0"/>
  </r>
  <r>
    <n v="2608"/>
    <x v="201"/>
    <x v="231"/>
    <n v="41"/>
    <n v="15"/>
    <x v="1"/>
    <x v="1"/>
    <x v="3"/>
    <s v="yes"/>
    <x v="4"/>
    <x v="3"/>
    <n v="80094"/>
    <n v="32037.599999999999"/>
    <x v="2"/>
    <x v="0"/>
  </r>
  <r>
    <n v="6081"/>
    <x v="202"/>
    <x v="232"/>
    <n v="47"/>
    <n v="2"/>
    <x v="0"/>
    <x v="3"/>
    <x v="2"/>
    <s v="no"/>
    <x v="1"/>
    <x v="2"/>
    <n v="96779"/>
    <n v="96779"/>
    <x v="2"/>
    <x v="1"/>
  </r>
  <r>
    <n v="13105"/>
    <x v="203"/>
    <x v="233"/>
    <n v="54"/>
    <n v="29"/>
    <x v="0"/>
    <x v="3"/>
    <x v="2"/>
    <s v="no"/>
    <x v="1"/>
    <x v="2"/>
    <n v="91254"/>
    <n v="91254"/>
    <x v="2"/>
    <x v="1"/>
  </r>
  <r>
    <n v="757"/>
    <x v="204"/>
    <x v="234"/>
    <n v="51"/>
    <n v="7"/>
    <x v="0"/>
    <x v="1"/>
    <x v="3"/>
    <s v="no"/>
    <x v="3"/>
    <x v="1"/>
    <n v="98000"/>
    <n v="78400"/>
    <x v="0"/>
    <x v="1"/>
  </r>
  <r>
    <n v="13480"/>
    <x v="205"/>
    <x v="84"/>
    <n v="45"/>
    <n v="0"/>
    <x v="1"/>
    <x v="0"/>
    <x v="3"/>
    <s v="no"/>
    <x v="1"/>
    <x v="3"/>
    <n v="77220"/>
    <n v="77220"/>
    <x v="2"/>
    <x v="1"/>
  </r>
  <r>
    <n v="9377"/>
    <x v="117"/>
    <x v="235"/>
    <n v="35"/>
    <n v="14"/>
    <x v="0"/>
    <x v="3"/>
    <x v="1"/>
    <s v="no"/>
    <x v="0"/>
    <x v="0"/>
    <n v="115000"/>
    <n v="57500"/>
    <x v="0"/>
    <x v="0"/>
  </r>
  <r>
    <n v="15596"/>
    <x v="206"/>
    <x v="236"/>
    <n v="52"/>
    <n v="31"/>
    <x v="0"/>
    <x v="2"/>
    <x v="3"/>
    <s v="yes"/>
    <x v="0"/>
    <x v="3"/>
    <n v="68688"/>
    <n v="34344"/>
    <x v="2"/>
    <x v="1"/>
  </r>
  <r>
    <n v="10034"/>
    <x v="4"/>
    <x v="237"/>
    <n v="50"/>
    <n v="29"/>
    <x v="0"/>
    <x v="4"/>
    <x v="1"/>
    <s v="no"/>
    <x v="1"/>
    <x v="1"/>
    <n v="105130"/>
    <n v="105130"/>
    <x v="2"/>
    <x v="1"/>
  </r>
  <r>
    <n v="14548"/>
    <x v="207"/>
    <x v="150"/>
    <n v="26"/>
    <n v="2"/>
    <x v="0"/>
    <x v="3"/>
    <x v="1"/>
    <s v="no"/>
    <x v="4"/>
    <x v="2"/>
    <n v="85000"/>
    <n v="34000"/>
    <x v="2"/>
    <x v="0"/>
  </r>
  <r>
    <n v="18898"/>
    <x v="2"/>
    <x v="198"/>
    <n v="34"/>
    <n v="5"/>
    <x v="0"/>
    <x v="3"/>
    <x v="2"/>
    <s v="no"/>
    <x v="3"/>
    <x v="2"/>
    <n v="85000"/>
    <n v="68000"/>
    <x v="0"/>
    <x v="0"/>
  </r>
  <r>
    <n v="22375"/>
    <x v="208"/>
    <x v="238"/>
    <n v="42"/>
    <n v="22"/>
    <x v="0"/>
    <x v="3"/>
    <x v="0"/>
    <s v="no"/>
    <x v="5"/>
    <x v="4"/>
    <n v="130000"/>
    <n v="78000"/>
    <x v="0"/>
    <x v="0"/>
  </r>
  <r>
    <n v="16634"/>
    <x v="147"/>
    <x v="239"/>
    <n v="51"/>
    <n v="18"/>
    <x v="0"/>
    <x v="1"/>
    <x v="3"/>
    <s v="no"/>
    <x v="5"/>
    <x v="3"/>
    <n v="68000"/>
    <n v="40800"/>
    <x v="1"/>
    <x v="1"/>
  </r>
  <r>
    <n v="5759"/>
    <x v="110"/>
    <x v="1"/>
    <n v="57"/>
    <n v="30"/>
    <x v="0"/>
    <x v="2"/>
    <x v="3"/>
    <s v="no"/>
    <x v="2"/>
    <x v="3"/>
    <n v="68000"/>
    <n v="13600"/>
    <x v="2"/>
    <x v="1"/>
  </r>
  <r>
    <n v="6909"/>
    <x v="209"/>
    <x v="28"/>
    <n v="39"/>
    <n v="10"/>
    <x v="0"/>
    <x v="4"/>
    <x v="1"/>
    <s v="no"/>
    <x v="0"/>
    <x v="1"/>
    <n v="98000"/>
    <n v="49000"/>
    <x v="0"/>
    <x v="0"/>
  </r>
  <r>
    <n v="10409"/>
    <x v="210"/>
    <x v="192"/>
    <n v="42"/>
    <n v="19"/>
    <x v="1"/>
    <x v="2"/>
    <x v="3"/>
    <s v="no"/>
    <x v="0"/>
    <x v="0"/>
    <n v="124200"/>
    <n v="62100"/>
    <x v="0"/>
    <x v="0"/>
  </r>
  <r>
    <n v="7820"/>
    <x v="168"/>
    <x v="141"/>
    <n v="45"/>
    <n v="14"/>
    <x v="0"/>
    <x v="1"/>
    <x v="5"/>
    <s v="yes"/>
    <x v="5"/>
    <x v="0"/>
    <n v="115000"/>
    <n v="69000"/>
    <x v="1"/>
    <x v="1"/>
  </r>
  <r>
    <n v="2603"/>
    <x v="70"/>
    <x v="139"/>
    <n v="35"/>
    <n v="14"/>
    <x v="1"/>
    <x v="1"/>
    <x v="6"/>
    <s v="no"/>
    <x v="3"/>
    <x v="1"/>
    <n v="105840"/>
    <n v="84672"/>
    <x v="0"/>
    <x v="0"/>
  </r>
  <r>
    <n v="19665"/>
    <x v="164"/>
    <x v="157"/>
    <n v="46"/>
    <n v="3"/>
    <x v="1"/>
    <x v="2"/>
    <x v="4"/>
    <s v="yes"/>
    <x v="0"/>
    <x v="1"/>
    <n v="105840"/>
    <n v="52920"/>
    <x v="0"/>
    <x v="1"/>
  </r>
  <r>
    <n v="18453"/>
    <x v="70"/>
    <x v="240"/>
    <n v="48"/>
    <n v="15"/>
    <x v="1"/>
    <x v="4"/>
    <x v="1"/>
    <s v="no"/>
    <x v="1"/>
    <x v="1"/>
    <n v="122000"/>
    <n v="122000"/>
    <x v="1"/>
    <x v="1"/>
  </r>
  <r>
    <n v="2684"/>
    <x v="211"/>
    <x v="241"/>
    <n v="39"/>
    <n v="17"/>
    <x v="1"/>
    <x v="4"/>
    <x v="3"/>
    <s v="no"/>
    <x v="1"/>
    <x v="2"/>
    <n v="107000"/>
    <n v="107000"/>
    <x v="2"/>
    <x v="0"/>
  </r>
  <r>
    <n v="10963"/>
    <x v="212"/>
    <x v="134"/>
    <n v="37"/>
    <n v="18"/>
    <x v="1"/>
    <x v="1"/>
    <x v="1"/>
    <s v="no"/>
    <x v="1"/>
    <x v="0"/>
    <n v="138000"/>
    <n v="138000"/>
    <x v="1"/>
    <x v="0"/>
  </r>
  <r>
    <n v="2560"/>
    <x v="213"/>
    <x v="242"/>
    <n v="28"/>
    <n v="4"/>
    <x v="0"/>
    <x v="2"/>
    <x v="2"/>
    <s v="no"/>
    <x v="1"/>
    <x v="1"/>
    <n v="112132"/>
    <n v="112132"/>
    <x v="2"/>
    <x v="0"/>
  </r>
  <r>
    <n v="2330"/>
    <x v="126"/>
    <x v="40"/>
    <n v="35"/>
    <n v="14"/>
    <x v="1"/>
    <x v="1"/>
    <x v="2"/>
    <s v="no"/>
    <x v="1"/>
    <x v="1"/>
    <n v="122000"/>
    <n v="122000"/>
    <x v="1"/>
    <x v="0"/>
  </r>
  <r>
    <n v="19829"/>
    <x v="214"/>
    <x v="214"/>
    <n v="56"/>
    <n v="19"/>
    <x v="1"/>
    <x v="2"/>
    <x v="0"/>
    <s v="yes"/>
    <x v="3"/>
    <x v="0"/>
    <n v="125383"/>
    <n v="100306.4"/>
    <x v="2"/>
    <x v="1"/>
  </r>
  <r>
    <n v="16310"/>
    <x v="129"/>
    <x v="243"/>
    <n v="37"/>
    <n v="2"/>
    <x v="0"/>
    <x v="3"/>
    <x v="1"/>
    <s v="no"/>
    <x v="0"/>
    <x v="4"/>
    <n v="130000"/>
    <n v="65000"/>
    <x v="2"/>
    <x v="0"/>
  </r>
  <r>
    <n v="17164"/>
    <x v="215"/>
    <x v="202"/>
    <n v="53"/>
    <n v="11"/>
    <x v="0"/>
    <x v="3"/>
    <x v="2"/>
    <s v="no"/>
    <x v="0"/>
    <x v="2"/>
    <n v="85000"/>
    <n v="42500"/>
    <x v="0"/>
    <x v="1"/>
  </r>
  <r>
    <n v="18090"/>
    <x v="216"/>
    <x v="244"/>
    <n v="60"/>
    <n v="21"/>
    <x v="0"/>
    <x v="1"/>
    <x v="2"/>
    <s v="yes"/>
    <x v="5"/>
    <x v="3"/>
    <n v="68000"/>
    <n v="40800"/>
    <x v="0"/>
    <x v="1"/>
  </r>
  <r>
    <n v="5845"/>
    <x v="217"/>
    <x v="59"/>
    <n v="57"/>
    <n v="6"/>
    <x v="1"/>
    <x v="1"/>
    <x v="6"/>
    <s v="yes"/>
    <x v="4"/>
    <x v="4"/>
    <n v="140400"/>
    <n v="56160"/>
    <x v="2"/>
    <x v="1"/>
  </r>
  <r>
    <n v="2550"/>
    <x v="119"/>
    <x v="245"/>
    <n v="44"/>
    <n v="19"/>
    <x v="0"/>
    <x v="0"/>
    <x v="1"/>
    <s v="no"/>
    <x v="0"/>
    <x v="0"/>
    <n v="115000"/>
    <n v="57500"/>
    <x v="0"/>
    <x v="0"/>
  </r>
  <r>
    <n v="2550"/>
    <x v="119"/>
    <x v="245"/>
    <n v="44"/>
    <n v="19"/>
    <x v="0"/>
    <x v="0"/>
    <x v="0"/>
    <s v="no"/>
    <x v="0"/>
    <x v="0"/>
    <n v="115000"/>
    <n v="57500"/>
    <x v="0"/>
    <x v="0"/>
  </r>
  <r>
    <n v="16024"/>
    <x v="108"/>
    <x v="122"/>
    <n v="37"/>
    <n v="10"/>
    <x v="0"/>
    <x v="0"/>
    <x v="1"/>
    <s v="no"/>
    <x v="0"/>
    <x v="2"/>
    <n v="85000"/>
    <n v="42500"/>
    <x v="2"/>
    <x v="0"/>
  </r>
  <r>
    <n v="17327"/>
    <x v="218"/>
    <x v="246"/>
    <n v="44"/>
    <n v="23"/>
    <x v="1"/>
    <x v="0"/>
    <x v="2"/>
    <s v="no"/>
    <x v="1"/>
    <x v="1"/>
    <n v="106383"/>
    <n v="106383"/>
    <x v="2"/>
    <x v="0"/>
  </r>
  <r>
    <n v="3312"/>
    <x v="219"/>
    <x v="198"/>
    <n v="47"/>
    <n v="21"/>
    <x v="0"/>
    <x v="4"/>
    <x v="2"/>
    <s v="yes"/>
    <x v="5"/>
    <x v="1"/>
    <n v="98000"/>
    <n v="58800"/>
    <x v="0"/>
    <x v="1"/>
  </r>
  <r>
    <n v="16600"/>
    <x v="75"/>
    <x v="228"/>
    <n v="39"/>
    <n v="19"/>
    <x v="1"/>
    <x v="1"/>
    <x v="1"/>
    <s v="no"/>
    <x v="0"/>
    <x v="1"/>
    <n v="122000"/>
    <n v="61000"/>
    <x v="1"/>
    <x v="0"/>
  </r>
  <r>
    <n v="6776"/>
    <x v="1"/>
    <x v="247"/>
    <n v="26"/>
    <n v="8"/>
    <x v="1"/>
    <x v="4"/>
    <x v="2"/>
    <s v="no"/>
    <x v="1"/>
    <x v="1"/>
    <n v="122000"/>
    <n v="122000"/>
    <x v="1"/>
    <x v="0"/>
  </r>
  <r>
    <n v="2932"/>
    <x v="220"/>
    <x v="190"/>
    <n v="47"/>
    <n v="17"/>
    <x v="1"/>
    <x v="3"/>
    <x v="1"/>
    <s v="yes"/>
    <x v="2"/>
    <x v="1"/>
    <n v="115059"/>
    <n v="23011.8"/>
    <x v="0"/>
    <x v="1"/>
  </r>
  <r>
    <n v="20185"/>
    <x v="16"/>
    <x v="248"/>
    <n v="40"/>
    <n v="6"/>
    <x v="1"/>
    <x v="1"/>
    <x v="1"/>
    <s v="no"/>
    <x v="3"/>
    <x v="0"/>
    <n v="129630"/>
    <n v="103704"/>
    <x v="2"/>
    <x v="0"/>
  </r>
  <r>
    <n v="2913"/>
    <x v="170"/>
    <x v="0"/>
    <n v="37"/>
    <n v="0"/>
    <x v="0"/>
    <x v="3"/>
    <x v="1"/>
    <s v="no"/>
    <x v="1"/>
    <x v="1"/>
    <n v="100461"/>
    <n v="100461"/>
    <x v="1"/>
    <x v="0"/>
  </r>
  <r>
    <n v="8394"/>
    <x v="117"/>
    <x v="249"/>
    <n v="47"/>
    <n v="26"/>
    <x v="1"/>
    <x v="4"/>
    <x v="2"/>
    <s v="no"/>
    <x v="1"/>
    <x v="1"/>
    <n v="114086"/>
    <n v="114086"/>
    <x v="2"/>
    <x v="1"/>
  </r>
  <r>
    <n v="13917"/>
    <x v="112"/>
    <x v="250"/>
    <n v="27"/>
    <n v="1"/>
    <x v="1"/>
    <x v="4"/>
    <x v="3"/>
    <s v="no"/>
    <x v="1"/>
    <x v="1"/>
    <n v="122000"/>
    <n v="122000"/>
    <x v="1"/>
    <x v="0"/>
  </r>
  <r>
    <n v="4615"/>
    <x v="169"/>
    <x v="251"/>
    <n v="45"/>
    <n v="23"/>
    <x v="1"/>
    <x v="0"/>
    <x v="3"/>
    <s v="no"/>
    <x v="1"/>
    <x v="2"/>
    <n v="107000"/>
    <n v="107000"/>
    <x v="1"/>
    <x v="1"/>
  </r>
  <r>
    <n v="19354"/>
    <x v="221"/>
    <x v="53"/>
    <n v="35"/>
    <n v="14"/>
    <x v="0"/>
    <x v="3"/>
    <x v="1"/>
    <s v="no"/>
    <x v="1"/>
    <x v="0"/>
    <n v="115000"/>
    <n v="115000"/>
    <x v="2"/>
    <x v="0"/>
  </r>
  <r>
    <n v="8754"/>
    <x v="222"/>
    <x v="50"/>
    <n v="32"/>
    <n v="2"/>
    <x v="0"/>
    <x v="4"/>
    <x v="2"/>
    <s v="no"/>
    <x v="3"/>
    <x v="3"/>
    <n v="68000"/>
    <n v="54400"/>
    <x v="0"/>
    <x v="0"/>
  </r>
  <r>
    <n v="19657"/>
    <x v="223"/>
    <x v="252"/>
    <n v="50"/>
    <n v="25"/>
    <x v="0"/>
    <x v="0"/>
    <x v="5"/>
    <s v="yes"/>
    <x v="1"/>
    <x v="4"/>
    <n v="134657"/>
    <n v="168321.25"/>
    <x v="0"/>
    <x v="1"/>
  </r>
  <r>
    <n v="20168"/>
    <x v="156"/>
    <x v="253"/>
    <n v="46"/>
    <n v="15"/>
    <x v="1"/>
    <x v="0"/>
    <x v="2"/>
    <s v="no"/>
    <x v="1"/>
    <x v="2"/>
    <n v="107000"/>
    <n v="107000"/>
    <x v="1"/>
    <x v="1"/>
  </r>
  <r>
    <n v="1989"/>
    <x v="19"/>
    <x v="254"/>
    <n v="61"/>
    <n v="3"/>
    <x v="1"/>
    <x v="3"/>
    <x v="1"/>
    <s v="no"/>
    <x v="0"/>
    <x v="1"/>
    <n v="105840"/>
    <n v="52920"/>
    <x v="0"/>
    <x v="1"/>
  </r>
  <r>
    <n v="20982"/>
    <x v="153"/>
    <x v="255"/>
    <n v="39"/>
    <n v="12"/>
    <x v="1"/>
    <x v="0"/>
    <x v="3"/>
    <s v="no"/>
    <x v="1"/>
    <x v="0"/>
    <n v="136917"/>
    <n v="136917"/>
    <x v="1"/>
    <x v="0"/>
  </r>
  <r>
    <n v="3373"/>
    <x v="224"/>
    <x v="39"/>
    <n v="35"/>
    <n v="2"/>
    <x v="0"/>
    <x v="2"/>
    <x v="2"/>
    <s v="yes"/>
    <x v="0"/>
    <x v="3"/>
    <n v="68000"/>
    <n v="34000"/>
    <x v="0"/>
    <x v="0"/>
  </r>
  <r>
    <n v="14424"/>
    <x v="225"/>
    <x v="256"/>
    <n v="33"/>
    <n v="5"/>
    <x v="1"/>
    <x v="1"/>
    <x v="3"/>
    <s v="no"/>
    <x v="1"/>
    <x v="1"/>
    <n v="122000"/>
    <n v="122000"/>
    <x v="1"/>
    <x v="0"/>
  </r>
  <r>
    <n v="22227"/>
    <x v="135"/>
    <x v="257"/>
    <n v="42"/>
    <n v="9"/>
    <x v="0"/>
    <x v="1"/>
    <x v="1"/>
    <s v="no"/>
    <x v="0"/>
    <x v="1"/>
    <n v="98000"/>
    <n v="49000"/>
    <x v="0"/>
    <x v="0"/>
  </r>
  <r>
    <n v="19812"/>
    <x v="221"/>
    <x v="258"/>
    <n v="41"/>
    <n v="16"/>
    <x v="0"/>
    <x v="2"/>
    <x v="6"/>
    <s v="yes"/>
    <x v="2"/>
    <x v="4"/>
    <n v="130000"/>
    <n v="26000"/>
    <x v="2"/>
    <x v="0"/>
  </r>
  <r>
    <n v="3726"/>
    <x v="35"/>
    <x v="37"/>
    <n v="38"/>
    <n v="2"/>
    <x v="1"/>
    <x v="0"/>
    <x v="1"/>
    <s v="no"/>
    <x v="0"/>
    <x v="1"/>
    <n v="122000"/>
    <n v="61000"/>
    <x v="1"/>
    <x v="0"/>
  </r>
  <r>
    <n v="19208"/>
    <x v="139"/>
    <x v="259"/>
    <n v="35"/>
    <n v="14"/>
    <x v="0"/>
    <x v="0"/>
    <x v="3"/>
    <s v="no"/>
    <x v="1"/>
    <x v="2"/>
    <n v="85750"/>
    <n v="85750"/>
    <x v="0"/>
    <x v="0"/>
  </r>
  <r>
    <n v="17817"/>
    <x v="224"/>
    <x v="260"/>
    <n v="36"/>
    <n v="13"/>
    <x v="0"/>
    <x v="1"/>
    <x v="2"/>
    <s v="no"/>
    <x v="1"/>
    <x v="2"/>
    <n v="95739"/>
    <n v="95739"/>
    <x v="2"/>
    <x v="0"/>
  </r>
  <r>
    <n v="11053"/>
    <x v="226"/>
    <x v="261"/>
    <n v="38"/>
    <n v="9"/>
    <x v="1"/>
    <x v="2"/>
    <x v="1"/>
    <s v="yes"/>
    <x v="3"/>
    <x v="2"/>
    <n v="94103"/>
    <n v="75282.399999999994"/>
    <x v="2"/>
    <x v="0"/>
  </r>
  <r>
    <n v="9231"/>
    <x v="227"/>
    <x v="262"/>
    <n v="50"/>
    <n v="6"/>
    <x v="1"/>
    <x v="3"/>
    <x v="2"/>
    <s v="yes"/>
    <x v="2"/>
    <x v="3"/>
    <n v="73932"/>
    <n v="14786.4"/>
    <x v="0"/>
    <x v="1"/>
  </r>
  <r>
    <n v="7380"/>
    <x v="228"/>
    <x v="141"/>
    <n v="37"/>
    <n v="16"/>
    <x v="0"/>
    <x v="3"/>
    <x v="4"/>
    <s v="no"/>
    <x v="1"/>
    <x v="4"/>
    <n v="135970"/>
    <n v="135970"/>
    <x v="1"/>
    <x v="0"/>
  </r>
  <r>
    <n v="22632"/>
    <x v="229"/>
    <x v="27"/>
    <n v="28"/>
    <n v="1"/>
    <x v="0"/>
    <x v="3"/>
    <x v="1"/>
    <s v="no"/>
    <x v="1"/>
    <x v="1"/>
    <n v="104125"/>
    <n v="104125"/>
    <x v="2"/>
    <x v="0"/>
  </r>
  <r>
    <n v="12328"/>
    <x v="19"/>
    <x v="68"/>
    <n v="49"/>
    <n v="5"/>
    <x v="1"/>
    <x v="1"/>
    <x v="1"/>
    <s v="no"/>
    <x v="0"/>
    <x v="1"/>
    <n v="122000"/>
    <n v="61000"/>
    <x v="1"/>
    <x v="1"/>
  </r>
  <r>
    <n v="3856"/>
    <x v="37"/>
    <x v="39"/>
    <n v="34"/>
    <n v="7"/>
    <x v="1"/>
    <x v="1"/>
    <x v="0"/>
    <s v="no"/>
    <x v="0"/>
    <x v="2"/>
    <n v="106974"/>
    <n v="53487"/>
    <x v="1"/>
    <x v="0"/>
  </r>
  <r>
    <n v="10982"/>
    <x v="230"/>
    <x v="263"/>
    <n v="38"/>
    <n v="14"/>
    <x v="0"/>
    <x v="3"/>
    <x v="1"/>
    <s v="no"/>
    <x v="0"/>
    <x v="0"/>
    <n v="115000"/>
    <n v="57500"/>
    <x v="2"/>
    <x v="0"/>
  </r>
  <r>
    <n v="8508"/>
    <x v="231"/>
    <x v="264"/>
    <n v="32"/>
    <n v="1"/>
    <x v="0"/>
    <x v="4"/>
    <x v="1"/>
    <s v="no"/>
    <x v="3"/>
    <x v="2"/>
    <n v="85000"/>
    <n v="68000"/>
    <x v="1"/>
    <x v="0"/>
  </r>
  <r>
    <n v="9390"/>
    <x v="156"/>
    <x v="24"/>
    <n v="38"/>
    <n v="16"/>
    <x v="1"/>
    <x v="4"/>
    <x v="4"/>
    <s v="yes"/>
    <x v="0"/>
    <x v="0"/>
    <n v="124200"/>
    <n v="62100"/>
    <x v="2"/>
    <x v="0"/>
  </r>
  <r>
    <n v="13656"/>
    <x v="232"/>
    <x v="265"/>
    <n v="51"/>
    <n v="8"/>
    <x v="1"/>
    <x v="3"/>
    <x v="5"/>
    <s v="yes"/>
    <x v="2"/>
    <x v="4"/>
    <n v="140400"/>
    <n v="28080"/>
    <x v="1"/>
    <x v="1"/>
  </r>
  <r>
    <n v="4975"/>
    <x v="233"/>
    <x v="266"/>
    <n v="32"/>
    <n v="10"/>
    <x v="0"/>
    <x v="1"/>
    <x v="4"/>
    <s v="no"/>
    <x v="3"/>
    <x v="0"/>
    <n v="115000"/>
    <n v="92000"/>
    <x v="0"/>
    <x v="0"/>
  </r>
  <r>
    <n v="21838"/>
    <x v="234"/>
    <x v="81"/>
    <n v="64"/>
    <n v="31"/>
    <x v="0"/>
    <x v="3"/>
    <x v="1"/>
    <s v="no"/>
    <x v="0"/>
    <x v="2"/>
    <n v="85000"/>
    <n v="42500"/>
    <x v="0"/>
    <x v="1"/>
  </r>
  <r>
    <n v="10517"/>
    <x v="48"/>
    <x v="206"/>
    <n v="38"/>
    <n v="6"/>
    <x v="0"/>
    <x v="0"/>
    <x v="2"/>
    <s v="no"/>
    <x v="1"/>
    <x v="3"/>
    <n v="70974"/>
    <n v="70974"/>
    <x v="0"/>
    <x v="0"/>
  </r>
  <r>
    <n v="15669"/>
    <x v="235"/>
    <x v="267"/>
    <n v="47"/>
    <n v="18"/>
    <x v="1"/>
    <x v="4"/>
    <x v="0"/>
    <s v="no"/>
    <x v="5"/>
    <x v="0"/>
    <n v="124200"/>
    <n v="74520"/>
    <x v="2"/>
    <x v="1"/>
  </r>
  <r>
    <n v="11047"/>
    <x v="236"/>
    <x v="268"/>
    <n v="47"/>
    <n v="21"/>
    <x v="0"/>
    <x v="1"/>
    <x v="3"/>
    <s v="no"/>
    <x v="1"/>
    <x v="2"/>
    <n v="85000"/>
    <n v="85000"/>
    <x v="1"/>
    <x v="1"/>
  </r>
  <r>
    <n v="3064"/>
    <x v="237"/>
    <x v="269"/>
    <n v="29"/>
    <n v="2"/>
    <x v="0"/>
    <x v="1"/>
    <x v="2"/>
    <s v="no"/>
    <x v="1"/>
    <x v="2"/>
    <n v="85000"/>
    <n v="85000"/>
    <x v="2"/>
    <x v="0"/>
  </r>
  <r>
    <n v="992"/>
    <x v="41"/>
    <x v="270"/>
    <n v="28"/>
    <n v="5"/>
    <x v="1"/>
    <x v="1"/>
    <x v="2"/>
    <s v="no"/>
    <x v="3"/>
    <x v="1"/>
    <n v="116913"/>
    <n v="93530.4"/>
    <x v="1"/>
    <x v="0"/>
  </r>
  <r>
    <n v="15704"/>
    <x v="238"/>
    <x v="271"/>
    <n v="59"/>
    <n v="2"/>
    <x v="1"/>
    <x v="2"/>
    <x v="4"/>
    <s v="yes"/>
    <x v="4"/>
    <x v="4"/>
    <n v="140400"/>
    <n v="56160"/>
    <x v="2"/>
    <x v="1"/>
  </r>
  <r>
    <n v="21041"/>
    <x v="156"/>
    <x v="272"/>
    <n v="39"/>
    <n v="15"/>
    <x v="1"/>
    <x v="4"/>
    <x v="2"/>
    <s v="no"/>
    <x v="1"/>
    <x v="2"/>
    <n v="107000"/>
    <n v="107000"/>
    <x v="1"/>
    <x v="0"/>
  </r>
  <r>
    <n v="19135"/>
    <x v="170"/>
    <x v="273"/>
    <n v="55"/>
    <n v="35"/>
    <x v="0"/>
    <x v="3"/>
    <x v="3"/>
    <s v="yes"/>
    <x v="0"/>
    <x v="3"/>
    <n v="68000"/>
    <n v="34000"/>
    <x v="0"/>
    <x v="1"/>
  </r>
  <r>
    <n v="3963"/>
    <x v="239"/>
    <x v="274"/>
    <n v="48"/>
    <n v="12"/>
    <x v="1"/>
    <x v="3"/>
    <x v="1"/>
    <s v="no"/>
    <x v="1"/>
    <x v="2"/>
    <n v="96560"/>
    <n v="96560"/>
    <x v="2"/>
    <x v="1"/>
  </r>
  <r>
    <n v="3087"/>
    <x v="240"/>
    <x v="275"/>
    <n v="36"/>
    <n v="9"/>
    <x v="0"/>
    <x v="3"/>
    <x v="0"/>
    <s v="no"/>
    <x v="5"/>
    <x v="2"/>
    <n v="85000"/>
    <n v="51000"/>
    <x v="0"/>
    <x v="0"/>
  </r>
  <r>
    <n v="18304"/>
    <x v="241"/>
    <x v="276"/>
    <n v="29"/>
    <n v="6"/>
    <x v="0"/>
    <x v="2"/>
    <x v="2"/>
    <s v="no"/>
    <x v="3"/>
    <x v="1"/>
    <n v="98000"/>
    <n v="78400"/>
    <x v="0"/>
    <x v="0"/>
  </r>
  <r>
    <n v="7671"/>
    <x v="242"/>
    <x v="112"/>
    <n v="32"/>
    <n v="2"/>
    <x v="1"/>
    <x v="2"/>
    <x v="1"/>
    <s v="no"/>
    <x v="0"/>
    <x v="1"/>
    <n v="105840"/>
    <n v="52920"/>
    <x v="0"/>
    <x v="0"/>
  </r>
  <r>
    <n v="17263"/>
    <x v="61"/>
    <x v="277"/>
    <n v="37"/>
    <n v="18"/>
    <x v="1"/>
    <x v="3"/>
    <x v="1"/>
    <s v="no"/>
    <x v="1"/>
    <x v="2"/>
    <n v="103733"/>
    <n v="103733"/>
    <x v="2"/>
    <x v="0"/>
  </r>
  <r>
    <n v="5027"/>
    <x v="62"/>
    <x v="278"/>
    <n v="37"/>
    <n v="6"/>
    <x v="0"/>
    <x v="4"/>
    <x v="2"/>
    <s v="no"/>
    <x v="4"/>
    <x v="3"/>
    <n v="68000"/>
    <n v="27200"/>
    <x v="2"/>
    <x v="0"/>
  </r>
  <r>
    <n v="12123"/>
    <x v="243"/>
    <x v="279"/>
    <n v="50"/>
    <n v="19"/>
    <x v="1"/>
    <x v="2"/>
    <x v="1"/>
    <s v="no"/>
    <x v="5"/>
    <x v="0"/>
    <n v="124200"/>
    <n v="74520"/>
    <x v="0"/>
    <x v="1"/>
  </r>
  <r>
    <n v="2941"/>
    <x v="244"/>
    <x v="280"/>
    <n v="48"/>
    <n v="12"/>
    <x v="0"/>
    <x v="0"/>
    <x v="4"/>
    <s v="no"/>
    <x v="1"/>
    <x v="4"/>
    <n v="141005"/>
    <n v="141005"/>
    <x v="2"/>
    <x v="1"/>
  </r>
  <r>
    <n v="1738"/>
    <x v="77"/>
    <x v="89"/>
    <n v="33"/>
    <n v="6"/>
    <x v="0"/>
    <x v="3"/>
    <x v="0"/>
    <s v="no"/>
    <x v="0"/>
    <x v="1"/>
    <n v="103930"/>
    <n v="51965"/>
    <x v="2"/>
    <x v="0"/>
  </r>
  <r>
    <n v="8691"/>
    <x v="245"/>
    <x v="281"/>
    <n v="41"/>
    <n v="17"/>
    <x v="1"/>
    <x v="2"/>
    <x v="2"/>
    <s v="no"/>
    <x v="0"/>
    <x v="3"/>
    <n v="81910"/>
    <n v="40955"/>
    <x v="2"/>
    <x v="0"/>
  </r>
  <r>
    <n v="12795"/>
    <x v="179"/>
    <x v="282"/>
    <n v="33"/>
    <n v="8"/>
    <x v="1"/>
    <x v="2"/>
    <x v="3"/>
    <s v="no"/>
    <x v="4"/>
    <x v="3"/>
    <n v="73440"/>
    <n v="29376"/>
    <x v="0"/>
    <x v="0"/>
  </r>
  <r>
    <n v="10025"/>
    <x v="39"/>
    <x v="104"/>
    <n v="48"/>
    <n v="2"/>
    <x v="0"/>
    <x v="4"/>
    <x v="4"/>
    <s v="yes"/>
    <x v="5"/>
    <x v="1"/>
    <n v="98000"/>
    <n v="58800"/>
    <x v="0"/>
    <x v="1"/>
  </r>
  <r>
    <n v="5856"/>
    <x v="32"/>
    <x v="283"/>
    <n v="46"/>
    <n v="11"/>
    <x v="1"/>
    <x v="4"/>
    <x v="2"/>
    <s v="no"/>
    <x v="1"/>
    <x v="2"/>
    <n v="92017"/>
    <n v="92017"/>
    <x v="1"/>
    <x v="1"/>
  </r>
  <r>
    <n v="15045"/>
    <x v="95"/>
    <x v="284"/>
    <n v="28"/>
    <n v="3"/>
    <x v="1"/>
    <x v="0"/>
    <x v="1"/>
    <s v="no"/>
    <x v="1"/>
    <x v="2"/>
    <n v="107000"/>
    <n v="107000"/>
    <x v="1"/>
    <x v="0"/>
  </r>
  <r>
    <n v="18487"/>
    <x v="246"/>
    <x v="285"/>
    <n v="55"/>
    <n v="36"/>
    <x v="1"/>
    <x v="2"/>
    <x v="2"/>
    <s v="no"/>
    <x v="3"/>
    <x v="3"/>
    <n v="73440"/>
    <n v="58752"/>
    <x v="0"/>
    <x v="1"/>
  </r>
  <r>
    <n v="10599"/>
    <x v="70"/>
    <x v="78"/>
    <n v="46"/>
    <n v="10"/>
    <x v="1"/>
    <x v="1"/>
    <x v="0"/>
    <s v="no"/>
    <x v="0"/>
    <x v="1"/>
    <n v="122000"/>
    <n v="61000"/>
    <x v="1"/>
    <x v="1"/>
  </r>
  <r>
    <n v="20730"/>
    <x v="3"/>
    <x v="286"/>
    <n v="50"/>
    <n v="3"/>
    <x v="1"/>
    <x v="0"/>
    <x v="4"/>
    <s v="no"/>
    <x v="1"/>
    <x v="0"/>
    <n v="138000"/>
    <n v="138000"/>
    <x v="0"/>
    <x v="1"/>
  </r>
  <r>
    <n v="22116"/>
    <x v="247"/>
    <x v="287"/>
    <n v="39"/>
    <n v="0"/>
    <x v="0"/>
    <x v="2"/>
    <x v="1"/>
    <s v="no"/>
    <x v="4"/>
    <x v="2"/>
    <n v="85000"/>
    <n v="34000"/>
    <x v="0"/>
    <x v="0"/>
  </r>
  <r>
    <n v="18019"/>
    <x v="248"/>
    <x v="288"/>
    <n v="55"/>
    <n v="23"/>
    <x v="1"/>
    <x v="3"/>
    <x v="3"/>
    <s v="no"/>
    <x v="1"/>
    <x v="2"/>
    <n v="100672"/>
    <n v="100672"/>
    <x v="1"/>
    <x v="1"/>
  </r>
  <r>
    <n v="943"/>
    <x v="159"/>
    <x v="289"/>
    <n v="46"/>
    <n v="16"/>
    <x v="1"/>
    <x v="2"/>
    <x v="6"/>
    <s v="no"/>
    <x v="5"/>
    <x v="2"/>
    <n v="95828"/>
    <n v="57496.800000000003"/>
    <x v="2"/>
    <x v="1"/>
  </r>
  <r>
    <n v="22571"/>
    <x v="249"/>
    <x v="171"/>
    <n v="37"/>
    <n v="12"/>
    <x v="1"/>
    <x v="4"/>
    <x v="2"/>
    <s v="no"/>
    <x v="1"/>
    <x v="1"/>
    <n v="121435"/>
    <n v="121435"/>
    <x v="1"/>
    <x v="0"/>
  </r>
  <r>
    <n v="18860"/>
    <x v="250"/>
    <x v="290"/>
    <n v="40"/>
    <n v="2"/>
    <x v="1"/>
    <x v="1"/>
    <x v="6"/>
    <s v="no"/>
    <x v="0"/>
    <x v="0"/>
    <n v="124200"/>
    <n v="62100"/>
    <x v="2"/>
    <x v="0"/>
  </r>
  <r>
    <n v="10497"/>
    <x v="41"/>
    <x v="291"/>
    <n v="29"/>
    <n v="11"/>
    <x v="1"/>
    <x v="4"/>
    <x v="2"/>
    <s v="no"/>
    <x v="5"/>
    <x v="3"/>
    <n v="73884"/>
    <n v="44330.400000000001"/>
    <x v="0"/>
    <x v="0"/>
  </r>
  <r>
    <n v="22424"/>
    <x v="4"/>
    <x v="214"/>
    <n v="39"/>
    <n v="4"/>
    <x v="0"/>
    <x v="2"/>
    <x v="3"/>
    <s v="no"/>
    <x v="1"/>
    <x v="1"/>
    <n v="98000"/>
    <n v="98000"/>
    <x v="2"/>
    <x v="0"/>
  </r>
  <r>
    <n v="4081"/>
    <x v="251"/>
    <x v="292"/>
    <n v="50"/>
    <n v="23"/>
    <x v="1"/>
    <x v="1"/>
    <x v="1"/>
    <s v="no"/>
    <x v="1"/>
    <x v="2"/>
    <n v="107000"/>
    <n v="107000"/>
    <x v="1"/>
    <x v="1"/>
  </r>
  <r>
    <n v="5087"/>
    <x v="252"/>
    <x v="293"/>
    <n v="43"/>
    <n v="25"/>
    <x v="0"/>
    <x v="0"/>
    <x v="2"/>
    <s v="no"/>
    <x v="1"/>
    <x v="1"/>
    <n v="105415"/>
    <n v="131768.75"/>
    <x v="1"/>
    <x v="0"/>
  </r>
  <r>
    <n v="9353"/>
    <x v="253"/>
    <x v="33"/>
    <n v="27"/>
    <n v="4"/>
    <x v="0"/>
    <x v="1"/>
    <x v="3"/>
    <s v="no"/>
    <x v="0"/>
    <x v="1"/>
    <n v="98000"/>
    <n v="49000"/>
    <x v="2"/>
    <x v="0"/>
  </r>
  <r>
    <n v="4469"/>
    <x v="114"/>
    <x v="89"/>
    <n v="55"/>
    <n v="32"/>
    <x v="1"/>
    <x v="0"/>
    <x v="6"/>
    <s v="no"/>
    <x v="1"/>
    <x v="0"/>
    <n v="138000"/>
    <n v="138000"/>
    <x v="1"/>
    <x v="1"/>
  </r>
  <r>
    <n v="4194"/>
    <x v="254"/>
    <x v="294"/>
    <n v="40"/>
    <n v="16"/>
    <x v="1"/>
    <x v="1"/>
    <x v="3"/>
    <s v="no"/>
    <x v="3"/>
    <x v="3"/>
    <n v="81203"/>
    <n v="64962.400000000001"/>
    <x v="1"/>
    <x v="0"/>
  </r>
  <r>
    <n v="5780"/>
    <x v="255"/>
    <x v="295"/>
    <n v="52"/>
    <n v="13"/>
    <x v="1"/>
    <x v="3"/>
    <x v="2"/>
    <s v="no"/>
    <x v="2"/>
    <x v="3"/>
    <n v="73440"/>
    <n v="14688"/>
    <x v="0"/>
    <x v="1"/>
  </r>
  <r>
    <n v="9611"/>
    <x v="3"/>
    <x v="296"/>
    <n v="52"/>
    <n v="0"/>
    <x v="1"/>
    <x v="3"/>
    <x v="2"/>
    <s v="no"/>
    <x v="1"/>
    <x v="1"/>
    <n v="107404"/>
    <n v="107404"/>
    <x v="1"/>
    <x v="1"/>
  </r>
  <r>
    <n v="9919"/>
    <x v="256"/>
    <x v="112"/>
    <n v="28"/>
    <n v="10"/>
    <x v="1"/>
    <x v="4"/>
    <x v="2"/>
    <s v="no"/>
    <x v="1"/>
    <x v="1"/>
    <n v="119288"/>
    <n v="119288"/>
    <x v="2"/>
    <x v="0"/>
  </r>
  <r>
    <n v="20506"/>
    <x v="257"/>
    <x v="297"/>
    <n v="57"/>
    <n v="27"/>
    <x v="0"/>
    <x v="2"/>
    <x v="2"/>
    <s v="no"/>
    <x v="3"/>
    <x v="3"/>
    <n v="68000"/>
    <n v="54400"/>
    <x v="0"/>
    <x v="1"/>
  </r>
  <r>
    <n v="7588"/>
    <x v="217"/>
    <x v="298"/>
    <n v="21"/>
    <n v="0"/>
    <x v="1"/>
    <x v="2"/>
    <x v="6"/>
    <s v="no"/>
    <x v="2"/>
    <x v="0"/>
    <n v="128626"/>
    <n v="25725.200000000001"/>
    <x v="2"/>
    <x v="2"/>
  </r>
  <r>
    <n v="11922"/>
    <x v="258"/>
    <x v="299"/>
    <n v="28"/>
    <n v="8"/>
    <x v="1"/>
    <x v="3"/>
    <x v="1"/>
    <s v="no"/>
    <x v="1"/>
    <x v="2"/>
    <n v="107000"/>
    <n v="107000"/>
    <x v="1"/>
    <x v="0"/>
  </r>
  <r>
    <n v="7358"/>
    <x v="259"/>
    <x v="119"/>
    <n v="45"/>
    <n v="7"/>
    <x v="0"/>
    <x v="0"/>
    <x v="1"/>
    <s v="no"/>
    <x v="1"/>
    <x v="4"/>
    <n v="139599"/>
    <n v="139599"/>
    <x v="2"/>
    <x v="1"/>
  </r>
  <r>
    <n v="21469"/>
    <x v="19"/>
    <x v="60"/>
    <n v="40"/>
    <n v="8"/>
    <x v="1"/>
    <x v="3"/>
    <x v="1"/>
    <s v="no"/>
    <x v="0"/>
    <x v="1"/>
    <n v="106294"/>
    <n v="53147"/>
    <x v="2"/>
    <x v="0"/>
  </r>
  <r>
    <n v="9337"/>
    <x v="42"/>
    <x v="300"/>
    <n v="47"/>
    <n v="1"/>
    <x v="1"/>
    <x v="2"/>
    <x v="2"/>
    <s v="no"/>
    <x v="1"/>
    <x v="1"/>
    <n v="108151"/>
    <n v="108151"/>
    <x v="2"/>
    <x v="1"/>
  </r>
  <r>
    <n v="17248"/>
    <x v="167"/>
    <x v="5"/>
    <n v="41"/>
    <n v="19"/>
    <x v="1"/>
    <x v="0"/>
    <x v="3"/>
    <s v="no"/>
    <x v="1"/>
    <x v="3"/>
    <n v="74131"/>
    <n v="74131"/>
    <x v="0"/>
    <x v="0"/>
  </r>
  <r>
    <n v="16695"/>
    <x v="260"/>
    <x v="301"/>
    <n v="32"/>
    <n v="3"/>
    <x v="0"/>
    <x v="1"/>
    <x v="1"/>
    <s v="no"/>
    <x v="1"/>
    <x v="1"/>
    <n v="111797"/>
    <n v="111797"/>
    <x v="1"/>
    <x v="0"/>
  </r>
  <r>
    <n v="15042"/>
    <x v="148"/>
    <x v="13"/>
    <n v="58"/>
    <n v="21"/>
    <x v="0"/>
    <x v="1"/>
    <x v="1"/>
    <s v="no"/>
    <x v="0"/>
    <x v="0"/>
    <n v="123856"/>
    <n v="61928"/>
    <x v="2"/>
    <x v="1"/>
  </r>
  <r>
    <n v="4267"/>
    <x v="182"/>
    <x v="209"/>
    <n v="56"/>
    <n v="7"/>
    <x v="0"/>
    <x v="0"/>
    <x v="0"/>
    <s v="no"/>
    <x v="0"/>
    <x v="1"/>
    <n v="104930"/>
    <n v="52465"/>
    <x v="2"/>
    <x v="1"/>
  </r>
  <r>
    <n v="8915"/>
    <x v="261"/>
    <x v="302"/>
    <n v="19"/>
    <n v="1"/>
    <x v="1"/>
    <x v="4"/>
    <x v="6"/>
    <s v="no"/>
    <x v="2"/>
    <x v="0"/>
    <n v="124200"/>
    <n v="24840"/>
    <x v="2"/>
    <x v="2"/>
  </r>
  <r>
    <n v="2351"/>
    <x v="262"/>
    <x v="303"/>
    <n v="41"/>
    <n v="1"/>
    <x v="1"/>
    <x v="0"/>
    <x v="2"/>
    <s v="no"/>
    <x v="3"/>
    <x v="3"/>
    <n v="81955"/>
    <n v="65564"/>
    <x v="2"/>
    <x v="0"/>
  </r>
  <r>
    <n v="3711"/>
    <x v="144"/>
    <x v="304"/>
    <n v="43"/>
    <n v="8"/>
    <x v="0"/>
    <x v="2"/>
    <x v="2"/>
    <s v="no"/>
    <x v="1"/>
    <x v="2"/>
    <n v="85000"/>
    <n v="85000"/>
    <x v="2"/>
    <x v="0"/>
  </r>
  <r>
    <n v="21471"/>
    <x v="263"/>
    <x v="305"/>
    <n v="52"/>
    <n v="19"/>
    <x v="1"/>
    <x v="1"/>
    <x v="3"/>
    <s v="no"/>
    <x v="1"/>
    <x v="1"/>
    <n v="122000"/>
    <n v="122000"/>
    <x v="1"/>
    <x v="1"/>
  </r>
  <r>
    <n v="9753"/>
    <x v="264"/>
    <x v="306"/>
    <n v="25"/>
    <n v="5"/>
    <x v="0"/>
    <x v="3"/>
    <x v="3"/>
    <s v="no"/>
    <x v="1"/>
    <x v="1"/>
    <n v="111526"/>
    <n v="111526"/>
    <x v="2"/>
    <x v="0"/>
  </r>
  <r>
    <n v="2131"/>
    <x v="265"/>
    <x v="307"/>
    <n v="50"/>
    <n v="20"/>
    <x v="1"/>
    <x v="3"/>
    <x v="3"/>
    <s v="no"/>
    <x v="3"/>
    <x v="3"/>
    <n v="73440"/>
    <n v="58752"/>
    <x v="0"/>
    <x v="1"/>
  </r>
  <r>
    <n v="803"/>
    <x v="266"/>
    <x v="112"/>
    <n v="28"/>
    <n v="10"/>
    <x v="1"/>
    <x v="3"/>
    <x v="1"/>
    <s v="no"/>
    <x v="1"/>
    <x v="1"/>
    <n v="116135"/>
    <n v="116135"/>
    <x v="1"/>
    <x v="0"/>
  </r>
  <r>
    <n v="11616"/>
    <x v="267"/>
    <x v="24"/>
    <n v="23"/>
    <n v="0"/>
    <x v="1"/>
    <x v="3"/>
    <x v="2"/>
    <s v="no"/>
    <x v="5"/>
    <x v="3"/>
    <n v="73440"/>
    <n v="44064"/>
    <x v="0"/>
    <x v="2"/>
  </r>
  <r>
    <n v="4973"/>
    <x v="65"/>
    <x v="24"/>
    <n v="35"/>
    <n v="8"/>
    <x v="1"/>
    <x v="1"/>
    <x v="1"/>
    <s v="no"/>
    <x v="1"/>
    <x v="1"/>
    <n v="122000"/>
    <n v="122000"/>
    <x v="1"/>
    <x v="0"/>
  </r>
  <r>
    <n v="21563"/>
    <x v="96"/>
    <x v="308"/>
    <n v="59"/>
    <n v="21"/>
    <x v="0"/>
    <x v="2"/>
    <x v="6"/>
    <s v="yes"/>
    <x v="0"/>
    <x v="1"/>
    <n v="98000"/>
    <n v="49000"/>
    <x v="2"/>
    <x v="1"/>
  </r>
  <r>
    <n v="9270"/>
    <x v="167"/>
    <x v="202"/>
    <n v="29"/>
    <n v="11"/>
    <x v="1"/>
    <x v="1"/>
    <x v="4"/>
    <s v="no"/>
    <x v="3"/>
    <x v="4"/>
    <n v="140400"/>
    <n v="112320"/>
    <x v="2"/>
    <x v="0"/>
  </r>
  <r>
    <n v="5981"/>
    <x v="268"/>
    <x v="309"/>
    <n v="37"/>
    <n v="13"/>
    <x v="0"/>
    <x v="2"/>
    <x v="3"/>
    <s v="no"/>
    <x v="4"/>
    <x v="3"/>
    <n v="68000"/>
    <n v="27200"/>
    <x v="2"/>
    <x v="0"/>
  </r>
  <r>
    <n v="15165"/>
    <x v="269"/>
    <x v="310"/>
    <n v="57"/>
    <n v="38"/>
    <x v="0"/>
    <x v="0"/>
    <x v="1"/>
    <s v="no"/>
    <x v="1"/>
    <x v="1"/>
    <n v="98000"/>
    <n v="98000"/>
    <x v="2"/>
    <x v="1"/>
  </r>
  <r>
    <n v="18764"/>
    <x v="13"/>
    <x v="84"/>
    <n v="31"/>
    <n v="0"/>
    <x v="1"/>
    <x v="0"/>
    <x v="3"/>
    <s v="no"/>
    <x v="1"/>
    <x v="2"/>
    <n v="96549"/>
    <n v="96549"/>
    <x v="2"/>
    <x v="0"/>
  </r>
  <r>
    <n v="14701"/>
    <x v="270"/>
    <x v="60"/>
    <n v="60"/>
    <n v="32"/>
    <x v="0"/>
    <x v="3"/>
    <x v="2"/>
    <s v="no"/>
    <x v="1"/>
    <x v="2"/>
    <n v="95795"/>
    <n v="95795"/>
    <x v="2"/>
    <x v="1"/>
  </r>
  <r>
    <n v="19066"/>
    <x v="16"/>
    <x v="66"/>
    <n v="30"/>
    <n v="0"/>
    <x v="1"/>
    <x v="1"/>
    <x v="1"/>
    <s v="no"/>
    <x v="4"/>
    <x v="1"/>
    <n v="105840"/>
    <n v="42336"/>
    <x v="0"/>
    <x v="0"/>
  </r>
  <r>
    <n v="1003"/>
    <x v="271"/>
    <x v="260"/>
    <n v="38"/>
    <n v="2"/>
    <x v="1"/>
    <x v="2"/>
    <x v="2"/>
    <s v="no"/>
    <x v="5"/>
    <x v="3"/>
    <n v="78309"/>
    <n v="46985.4"/>
    <x v="1"/>
    <x v="0"/>
  </r>
  <r>
    <n v="3152"/>
    <x v="272"/>
    <x v="311"/>
    <n v="50"/>
    <n v="13"/>
    <x v="0"/>
    <x v="1"/>
    <x v="3"/>
    <s v="no"/>
    <x v="1"/>
    <x v="0"/>
    <n v="115000"/>
    <n v="115000"/>
    <x v="2"/>
    <x v="1"/>
  </r>
  <r>
    <n v="5571"/>
    <x v="273"/>
    <x v="312"/>
    <n v="55"/>
    <n v="11"/>
    <x v="1"/>
    <x v="2"/>
    <x v="3"/>
    <s v="no"/>
    <x v="2"/>
    <x v="3"/>
    <n v="73440"/>
    <n v="14688"/>
    <x v="2"/>
    <x v="1"/>
  </r>
  <r>
    <n v="18564"/>
    <x v="274"/>
    <x v="313"/>
    <n v="65"/>
    <n v="26"/>
    <x v="1"/>
    <x v="3"/>
    <x v="6"/>
    <s v="yes"/>
    <x v="0"/>
    <x v="2"/>
    <n v="91800"/>
    <n v="45900"/>
    <x v="0"/>
    <x v="1"/>
  </r>
  <r>
    <n v="1867"/>
    <x v="252"/>
    <x v="314"/>
    <n v="47"/>
    <n v="15"/>
    <x v="0"/>
    <x v="3"/>
    <x v="2"/>
    <s v="no"/>
    <x v="0"/>
    <x v="1"/>
    <n v="98000"/>
    <n v="49000"/>
    <x v="0"/>
    <x v="1"/>
  </r>
  <r>
    <n v="12785"/>
    <x v="275"/>
    <x v="261"/>
    <n v="32"/>
    <n v="13"/>
    <x v="0"/>
    <x v="1"/>
    <x v="3"/>
    <s v="no"/>
    <x v="1"/>
    <x v="2"/>
    <n v="96858"/>
    <n v="96858"/>
    <x v="2"/>
    <x v="0"/>
  </r>
  <r>
    <n v="19774"/>
    <x v="276"/>
    <x v="315"/>
    <n v="41"/>
    <n v="12"/>
    <x v="1"/>
    <x v="2"/>
    <x v="4"/>
    <s v="no"/>
    <x v="0"/>
    <x v="1"/>
    <n v="105840"/>
    <n v="52920"/>
    <x v="0"/>
    <x v="0"/>
  </r>
  <r>
    <n v="18792"/>
    <x v="277"/>
    <x v="316"/>
    <n v="47"/>
    <n v="13"/>
    <x v="1"/>
    <x v="4"/>
    <x v="1"/>
    <s v="yes"/>
    <x v="3"/>
    <x v="0"/>
    <n v="124200"/>
    <n v="99360"/>
    <x v="2"/>
    <x v="1"/>
  </r>
  <r>
    <n v="5539"/>
    <x v="278"/>
    <x v="317"/>
    <n v="37"/>
    <n v="14"/>
    <x v="1"/>
    <x v="3"/>
    <x v="1"/>
    <s v="no"/>
    <x v="1"/>
    <x v="2"/>
    <n v="92515"/>
    <n v="92515"/>
    <x v="2"/>
    <x v="0"/>
  </r>
  <r>
    <n v="14770"/>
    <x v="279"/>
    <x v="318"/>
    <n v="30"/>
    <n v="2"/>
    <x v="1"/>
    <x v="1"/>
    <x v="3"/>
    <s v="no"/>
    <x v="4"/>
    <x v="3"/>
    <n v="73440"/>
    <n v="29376"/>
    <x v="0"/>
    <x v="0"/>
  </r>
  <r>
    <n v="4863"/>
    <x v="280"/>
    <x v="97"/>
    <n v="56"/>
    <n v="32"/>
    <x v="0"/>
    <x v="2"/>
    <x v="3"/>
    <s v="no"/>
    <x v="0"/>
    <x v="0"/>
    <n v="115000"/>
    <n v="57500"/>
    <x v="0"/>
    <x v="1"/>
  </r>
  <r>
    <n v="2057"/>
    <x v="281"/>
    <x v="319"/>
    <n v="20"/>
    <n v="0"/>
    <x v="0"/>
    <x v="4"/>
    <x v="2"/>
    <s v="no"/>
    <x v="0"/>
    <x v="3"/>
    <n v="68000"/>
    <n v="34000"/>
    <x v="2"/>
    <x v="2"/>
  </r>
  <r>
    <n v="10788"/>
    <x v="137"/>
    <x v="320"/>
    <n v="33"/>
    <n v="0"/>
    <x v="0"/>
    <x v="1"/>
    <x v="1"/>
    <s v="no"/>
    <x v="1"/>
    <x v="2"/>
    <n v="86215"/>
    <n v="86215"/>
    <x v="2"/>
    <x v="0"/>
  </r>
  <r>
    <n v="12635"/>
    <x v="279"/>
    <x v="165"/>
    <n v="32"/>
    <n v="1"/>
    <x v="1"/>
    <x v="2"/>
    <x v="3"/>
    <s v="no"/>
    <x v="4"/>
    <x v="3"/>
    <n v="75859"/>
    <n v="30343.599999999999"/>
    <x v="2"/>
    <x v="0"/>
  </r>
  <r>
    <n v="1994"/>
    <x v="18"/>
    <x v="173"/>
    <n v="20"/>
    <n v="2"/>
    <x v="0"/>
    <x v="0"/>
    <x v="0"/>
    <s v="no"/>
    <x v="0"/>
    <x v="1"/>
    <n v="108538"/>
    <n v="54269"/>
    <x v="2"/>
    <x v="2"/>
  </r>
  <r>
    <n v="12411"/>
    <x v="153"/>
    <x v="321"/>
    <n v="41"/>
    <n v="16"/>
    <x v="1"/>
    <x v="0"/>
    <x v="3"/>
    <s v="no"/>
    <x v="1"/>
    <x v="3"/>
    <n v="85804"/>
    <n v="85804"/>
    <x v="0"/>
    <x v="0"/>
  </r>
  <r>
    <n v="7570"/>
    <x v="259"/>
    <x v="322"/>
    <n v="56"/>
    <n v="27"/>
    <x v="0"/>
    <x v="2"/>
    <x v="3"/>
    <s v="no"/>
    <x v="1"/>
    <x v="2"/>
    <n v="85000"/>
    <n v="85000"/>
    <x v="2"/>
    <x v="1"/>
  </r>
  <r>
    <n v="8863"/>
    <x v="282"/>
    <x v="323"/>
    <n v="49"/>
    <n v="6"/>
    <x v="0"/>
    <x v="1"/>
    <x v="2"/>
    <s v="yes"/>
    <x v="4"/>
    <x v="3"/>
    <n v="68000"/>
    <n v="27200"/>
    <x v="0"/>
    <x v="1"/>
  </r>
  <r>
    <n v="22541"/>
    <x v="55"/>
    <x v="60"/>
    <n v="43"/>
    <n v="10"/>
    <x v="0"/>
    <x v="4"/>
    <x v="2"/>
    <s v="no"/>
    <x v="1"/>
    <x v="2"/>
    <n v="95723"/>
    <n v="95723"/>
    <x v="2"/>
    <x v="0"/>
  </r>
  <r>
    <n v="4055"/>
    <x v="35"/>
    <x v="50"/>
    <n v="31"/>
    <n v="11"/>
    <x v="1"/>
    <x v="3"/>
    <x v="4"/>
    <s v="no"/>
    <x v="5"/>
    <x v="1"/>
    <n v="111410"/>
    <n v="66846"/>
    <x v="2"/>
    <x v="0"/>
  </r>
  <r>
    <n v="12276"/>
    <x v="283"/>
    <x v="112"/>
    <n v="46"/>
    <n v="22"/>
    <x v="0"/>
    <x v="0"/>
    <x v="3"/>
    <s v="no"/>
    <x v="1"/>
    <x v="1"/>
    <n v="106352"/>
    <n v="106352"/>
    <x v="2"/>
    <x v="1"/>
  </r>
  <r>
    <n v="19033"/>
    <x v="284"/>
    <x v="324"/>
    <n v="63"/>
    <n v="13"/>
    <x v="0"/>
    <x v="2"/>
    <x v="3"/>
    <s v="no"/>
    <x v="1"/>
    <x v="2"/>
    <n v="85000"/>
    <n v="85000"/>
    <x v="2"/>
    <x v="1"/>
  </r>
  <r>
    <n v="14003"/>
    <x v="160"/>
    <x v="325"/>
    <n v="39"/>
    <n v="17"/>
    <x v="1"/>
    <x v="1"/>
    <x v="2"/>
    <s v="no"/>
    <x v="4"/>
    <x v="3"/>
    <n v="73440"/>
    <n v="29376"/>
    <x v="0"/>
    <x v="0"/>
  </r>
  <r>
    <n v="21024"/>
    <x v="117"/>
    <x v="326"/>
    <n v="35"/>
    <n v="15"/>
    <x v="0"/>
    <x v="3"/>
    <x v="3"/>
    <s v="no"/>
    <x v="1"/>
    <x v="2"/>
    <n v="85000"/>
    <n v="85000"/>
    <x v="2"/>
    <x v="0"/>
  </r>
  <r>
    <n v="5751"/>
    <x v="285"/>
    <x v="327"/>
    <n v="42"/>
    <n v="21"/>
    <x v="1"/>
    <x v="1"/>
    <x v="0"/>
    <s v="no"/>
    <x v="0"/>
    <x v="1"/>
    <n v="122000"/>
    <n v="61000"/>
    <x v="1"/>
    <x v="0"/>
  </r>
  <r>
    <n v="8444"/>
    <x v="143"/>
    <x v="112"/>
    <n v="61"/>
    <n v="23"/>
    <x v="1"/>
    <x v="0"/>
    <x v="3"/>
    <s v="yes"/>
    <x v="3"/>
    <x v="3"/>
    <n v="73440"/>
    <n v="58752"/>
    <x v="0"/>
    <x v="1"/>
  </r>
  <r>
    <n v="6011"/>
    <x v="185"/>
    <x v="328"/>
    <n v="55"/>
    <n v="15"/>
    <x v="1"/>
    <x v="1"/>
    <x v="1"/>
    <s v="no"/>
    <x v="1"/>
    <x v="1"/>
    <n v="122000"/>
    <n v="122000"/>
    <x v="1"/>
    <x v="1"/>
  </r>
  <r>
    <n v="6488"/>
    <x v="286"/>
    <x v="329"/>
    <n v="35"/>
    <n v="3"/>
    <x v="1"/>
    <x v="4"/>
    <x v="2"/>
    <s v="no"/>
    <x v="1"/>
    <x v="2"/>
    <n v="107000"/>
    <n v="107000"/>
    <x v="1"/>
    <x v="0"/>
  </r>
  <r>
    <n v="14197"/>
    <x v="287"/>
    <x v="330"/>
    <n v="59"/>
    <n v="18"/>
    <x v="1"/>
    <x v="1"/>
    <x v="2"/>
    <s v="no"/>
    <x v="1"/>
    <x v="1"/>
    <n v="108637"/>
    <n v="108637"/>
    <x v="1"/>
    <x v="1"/>
  </r>
  <r>
    <n v="1499"/>
    <x v="288"/>
    <x v="331"/>
    <n v="26"/>
    <n v="5"/>
    <x v="1"/>
    <x v="3"/>
    <x v="1"/>
    <s v="no"/>
    <x v="0"/>
    <x v="1"/>
    <n v="120802"/>
    <n v="60401"/>
    <x v="1"/>
    <x v="0"/>
  </r>
  <r>
    <n v="6564"/>
    <x v="289"/>
    <x v="332"/>
    <n v="23"/>
    <n v="2"/>
    <x v="1"/>
    <x v="4"/>
    <x v="2"/>
    <s v="no"/>
    <x v="1"/>
    <x v="1"/>
    <n v="121179"/>
    <n v="121179"/>
    <x v="2"/>
    <x v="2"/>
  </r>
  <r>
    <n v="11572"/>
    <x v="232"/>
    <x v="333"/>
    <n v="28"/>
    <n v="7"/>
    <x v="1"/>
    <x v="4"/>
    <x v="1"/>
    <s v="no"/>
    <x v="0"/>
    <x v="2"/>
    <n v="91800"/>
    <n v="45900"/>
    <x v="0"/>
    <x v="0"/>
  </r>
  <r>
    <n v="14178"/>
    <x v="61"/>
    <x v="17"/>
    <n v="41"/>
    <n v="23"/>
    <x v="1"/>
    <x v="2"/>
    <x v="4"/>
    <s v="yes"/>
    <x v="4"/>
    <x v="4"/>
    <n v="140400"/>
    <n v="56160"/>
    <x v="2"/>
    <x v="0"/>
  </r>
  <r>
    <n v="22638"/>
    <x v="70"/>
    <x v="334"/>
    <n v="34"/>
    <n v="3"/>
    <x v="1"/>
    <x v="2"/>
    <x v="3"/>
    <s v="no"/>
    <x v="1"/>
    <x v="2"/>
    <n v="104097"/>
    <n v="104097"/>
    <x v="1"/>
    <x v="0"/>
  </r>
  <r>
    <n v="8818"/>
    <x v="164"/>
    <x v="291"/>
    <n v="54"/>
    <n v="24"/>
    <x v="1"/>
    <x v="3"/>
    <x v="0"/>
    <s v="yes"/>
    <x v="0"/>
    <x v="4"/>
    <n v="140450"/>
    <n v="70225"/>
    <x v="2"/>
    <x v="1"/>
  </r>
  <r>
    <n v="9429"/>
    <x v="252"/>
    <x v="279"/>
    <n v="62"/>
    <n v="39"/>
    <x v="0"/>
    <x v="4"/>
    <x v="0"/>
    <s v="yes"/>
    <x v="4"/>
    <x v="2"/>
    <n v="85000"/>
    <n v="34000"/>
    <x v="0"/>
    <x v="1"/>
  </r>
  <r>
    <n v="5903"/>
    <x v="11"/>
    <x v="335"/>
    <n v="32"/>
    <n v="4"/>
    <x v="0"/>
    <x v="4"/>
    <x v="3"/>
    <s v="no"/>
    <x v="0"/>
    <x v="1"/>
    <n v="98000"/>
    <n v="49000"/>
    <x v="0"/>
    <x v="0"/>
  </r>
  <r>
    <n v="4229"/>
    <x v="48"/>
    <x v="131"/>
    <n v="49"/>
    <n v="12"/>
    <x v="0"/>
    <x v="3"/>
    <x v="5"/>
    <s v="yes"/>
    <x v="3"/>
    <x v="4"/>
    <n v="130000"/>
    <n v="104000"/>
    <x v="0"/>
    <x v="1"/>
  </r>
  <r>
    <n v="13222"/>
    <x v="103"/>
    <x v="336"/>
    <n v="53"/>
    <n v="26"/>
    <x v="0"/>
    <x v="2"/>
    <x v="2"/>
    <s v="yes"/>
    <x v="3"/>
    <x v="3"/>
    <n v="68000"/>
    <n v="54400"/>
    <x v="0"/>
    <x v="1"/>
  </r>
  <r>
    <n v="1955"/>
    <x v="290"/>
    <x v="173"/>
    <n v="42"/>
    <n v="6"/>
    <x v="0"/>
    <x v="2"/>
    <x v="6"/>
    <s v="no"/>
    <x v="0"/>
    <x v="0"/>
    <n v="115000"/>
    <n v="57500"/>
    <x v="0"/>
    <x v="0"/>
  </r>
  <r>
    <n v="16110"/>
    <x v="36"/>
    <x v="112"/>
    <n v="46"/>
    <n v="4"/>
    <x v="0"/>
    <x v="1"/>
    <x v="1"/>
    <s v="no"/>
    <x v="4"/>
    <x v="1"/>
    <n v="98000"/>
    <n v="39200"/>
    <x v="2"/>
    <x v="1"/>
  </r>
  <r>
    <n v="7975"/>
    <x v="96"/>
    <x v="337"/>
    <n v="40"/>
    <n v="7"/>
    <x v="0"/>
    <x v="4"/>
    <x v="6"/>
    <s v="yes"/>
    <x v="3"/>
    <x v="1"/>
    <n v="98000"/>
    <n v="78400"/>
    <x v="2"/>
    <x v="0"/>
  </r>
  <r>
    <n v="7226"/>
    <x v="214"/>
    <x v="109"/>
    <n v="35"/>
    <n v="0"/>
    <x v="1"/>
    <x v="1"/>
    <x v="3"/>
    <s v="no"/>
    <x v="3"/>
    <x v="3"/>
    <n v="81754"/>
    <n v="65403.199999999997"/>
    <x v="1"/>
    <x v="0"/>
  </r>
  <r>
    <n v="15770"/>
    <x v="291"/>
    <x v="17"/>
    <n v="41"/>
    <n v="23"/>
    <x v="1"/>
    <x v="4"/>
    <x v="2"/>
    <s v="no"/>
    <x v="0"/>
    <x v="3"/>
    <n v="82929"/>
    <n v="41464.5"/>
    <x v="2"/>
    <x v="0"/>
  </r>
  <r>
    <n v="12144"/>
    <x v="74"/>
    <x v="338"/>
    <n v="52"/>
    <n v="1"/>
    <x v="1"/>
    <x v="0"/>
    <x v="3"/>
    <s v="no"/>
    <x v="1"/>
    <x v="3"/>
    <n v="87000"/>
    <n v="87000"/>
    <x v="1"/>
    <x v="1"/>
  </r>
  <r>
    <n v="10687"/>
    <x v="129"/>
    <x v="89"/>
    <n v="44"/>
    <n v="15"/>
    <x v="0"/>
    <x v="4"/>
    <x v="2"/>
    <s v="yes"/>
    <x v="4"/>
    <x v="3"/>
    <n v="68000"/>
    <n v="27200"/>
    <x v="2"/>
    <x v="0"/>
  </r>
  <r>
    <n v="8144"/>
    <x v="292"/>
    <x v="339"/>
    <n v="45"/>
    <n v="20"/>
    <x v="1"/>
    <x v="4"/>
    <x v="1"/>
    <s v="yes"/>
    <x v="0"/>
    <x v="0"/>
    <n v="124200"/>
    <n v="62100"/>
    <x v="1"/>
    <x v="1"/>
  </r>
  <r>
    <n v="7991"/>
    <x v="35"/>
    <x v="340"/>
    <n v="55"/>
    <n v="36"/>
    <x v="1"/>
    <x v="4"/>
    <x v="3"/>
    <s v="no"/>
    <x v="1"/>
    <x v="2"/>
    <n v="93950"/>
    <n v="93950"/>
    <x v="2"/>
    <x v="1"/>
  </r>
  <r>
    <n v="1462"/>
    <x v="293"/>
    <x v="341"/>
    <n v="32"/>
    <n v="10"/>
    <x v="1"/>
    <x v="0"/>
    <x v="3"/>
    <s v="no"/>
    <x v="5"/>
    <x v="3"/>
    <n v="73440"/>
    <n v="44064"/>
    <x v="2"/>
    <x v="0"/>
  </r>
  <r>
    <n v="22314"/>
    <x v="156"/>
    <x v="342"/>
    <n v="48"/>
    <n v="21"/>
    <x v="1"/>
    <x v="1"/>
    <x v="1"/>
    <s v="no"/>
    <x v="1"/>
    <x v="1"/>
    <n v="122000"/>
    <n v="122000"/>
    <x v="1"/>
    <x v="1"/>
  </r>
  <r>
    <n v="7015"/>
    <x v="244"/>
    <x v="59"/>
    <n v="34"/>
    <n v="15"/>
    <x v="0"/>
    <x v="4"/>
    <x v="3"/>
    <s v="yes"/>
    <x v="3"/>
    <x v="3"/>
    <n v="68527"/>
    <n v="54821.599999999999"/>
    <x v="0"/>
    <x v="0"/>
  </r>
  <r>
    <n v="13743"/>
    <x v="72"/>
    <x v="43"/>
    <n v="28"/>
    <n v="8"/>
    <x v="0"/>
    <x v="4"/>
    <x v="1"/>
    <s v="no"/>
    <x v="0"/>
    <x v="1"/>
    <n v="100990"/>
    <n v="50495"/>
    <x v="1"/>
    <x v="0"/>
  </r>
  <r>
    <n v="11443"/>
    <x v="294"/>
    <x v="198"/>
    <n v="32"/>
    <n v="4"/>
    <x v="1"/>
    <x v="3"/>
    <x v="0"/>
    <s v="no"/>
    <x v="4"/>
    <x v="2"/>
    <n v="92909"/>
    <n v="37163.599999999999"/>
    <x v="0"/>
    <x v="0"/>
  </r>
  <r>
    <n v="9816"/>
    <x v="105"/>
    <x v="164"/>
    <n v="31"/>
    <n v="1"/>
    <x v="0"/>
    <x v="4"/>
    <x v="1"/>
    <s v="no"/>
    <x v="1"/>
    <x v="1"/>
    <n v="99701"/>
    <n v="99701"/>
    <x v="1"/>
    <x v="0"/>
  </r>
  <r>
    <n v="2961"/>
    <x v="255"/>
    <x v="343"/>
    <n v="41"/>
    <n v="21"/>
    <x v="1"/>
    <x v="1"/>
    <x v="2"/>
    <s v="yes"/>
    <x v="5"/>
    <x v="3"/>
    <n v="78800"/>
    <n v="47280"/>
    <x v="2"/>
    <x v="0"/>
  </r>
  <r>
    <n v="9833"/>
    <x v="295"/>
    <x v="344"/>
    <n v="38"/>
    <n v="1"/>
    <x v="1"/>
    <x v="3"/>
    <x v="2"/>
    <s v="no"/>
    <x v="3"/>
    <x v="2"/>
    <n v="97345"/>
    <n v="77876"/>
    <x v="2"/>
    <x v="0"/>
  </r>
  <r>
    <n v="12193"/>
    <x v="186"/>
    <x v="345"/>
    <n v="63"/>
    <n v="32"/>
    <x v="0"/>
    <x v="2"/>
    <x v="2"/>
    <s v="no"/>
    <x v="0"/>
    <x v="3"/>
    <n v="68000"/>
    <n v="34000"/>
    <x v="2"/>
    <x v="1"/>
  </r>
  <r>
    <n v="21707"/>
    <x v="71"/>
    <x v="346"/>
    <n v="25"/>
    <n v="7"/>
    <x v="0"/>
    <x v="3"/>
    <x v="2"/>
    <s v="no"/>
    <x v="0"/>
    <x v="1"/>
    <n v="98000"/>
    <n v="49000"/>
    <x v="0"/>
    <x v="0"/>
  </r>
  <r>
    <n v="17379"/>
    <x v="167"/>
    <x v="347"/>
    <n v="28"/>
    <n v="9"/>
    <x v="1"/>
    <x v="1"/>
    <x v="2"/>
    <s v="no"/>
    <x v="1"/>
    <x v="1"/>
    <n v="122000"/>
    <n v="122000"/>
    <x v="2"/>
    <x v="0"/>
  </r>
  <r>
    <n v="13783"/>
    <x v="296"/>
    <x v="348"/>
    <n v="36"/>
    <n v="6"/>
    <x v="1"/>
    <x v="3"/>
    <x v="4"/>
    <s v="no"/>
    <x v="1"/>
    <x v="0"/>
    <n v="138000"/>
    <n v="138000"/>
    <x v="1"/>
    <x v="0"/>
  </r>
  <r>
    <n v="18257"/>
    <x v="297"/>
    <x v="349"/>
    <n v="22"/>
    <n v="4"/>
    <x v="0"/>
    <x v="2"/>
    <x v="4"/>
    <s v="no"/>
    <x v="0"/>
    <x v="4"/>
    <n v="130000"/>
    <n v="65000"/>
    <x v="0"/>
    <x v="2"/>
  </r>
  <r>
    <n v="11538"/>
    <x v="143"/>
    <x v="136"/>
    <n v="39"/>
    <n v="10"/>
    <x v="1"/>
    <x v="3"/>
    <x v="5"/>
    <s v="yes"/>
    <x v="2"/>
    <x v="4"/>
    <n v="140400"/>
    <n v="28080"/>
    <x v="0"/>
    <x v="0"/>
  </r>
  <r>
    <n v="1591"/>
    <x v="298"/>
    <x v="24"/>
    <n v="36"/>
    <n v="14"/>
    <x v="1"/>
    <x v="1"/>
    <x v="2"/>
    <s v="yes"/>
    <x v="5"/>
    <x v="3"/>
    <n v="73440"/>
    <n v="44064"/>
    <x v="0"/>
    <x v="0"/>
  </r>
  <r>
    <n v="4466"/>
    <x v="38"/>
    <x v="350"/>
    <n v="38"/>
    <n v="11"/>
    <x v="1"/>
    <x v="2"/>
    <x v="3"/>
    <s v="no"/>
    <x v="0"/>
    <x v="0"/>
    <n v="124200"/>
    <n v="62100"/>
    <x v="2"/>
    <x v="0"/>
  </r>
  <r>
    <n v="9246"/>
    <x v="299"/>
    <x v="339"/>
    <n v="46"/>
    <n v="8"/>
    <x v="0"/>
    <x v="0"/>
    <x v="2"/>
    <s v="no"/>
    <x v="1"/>
    <x v="1"/>
    <n v="112121"/>
    <n v="112121"/>
    <x v="2"/>
    <x v="1"/>
  </r>
  <r>
    <n v="6538"/>
    <x v="224"/>
    <x v="351"/>
    <n v="56"/>
    <n v="11"/>
    <x v="0"/>
    <x v="4"/>
    <x v="1"/>
    <s v="yes"/>
    <x v="5"/>
    <x v="0"/>
    <n v="115000"/>
    <n v="69000"/>
    <x v="2"/>
    <x v="1"/>
  </r>
  <r>
    <n v="19711"/>
    <x v="31"/>
    <x v="81"/>
    <n v="52"/>
    <n v="13"/>
    <x v="1"/>
    <x v="4"/>
    <x v="3"/>
    <s v="no"/>
    <x v="1"/>
    <x v="3"/>
    <n v="87000"/>
    <n v="87000"/>
    <x v="1"/>
    <x v="1"/>
  </r>
  <r>
    <n v="9385"/>
    <x v="232"/>
    <x v="352"/>
    <n v="40"/>
    <n v="13"/>
    <x v="1"/>
    <x v="3"/>
    <x v="2"/>
    <s v="no"/>
    <x v="0"/>
    <x v="3"/>
    <n v="73440"/>
    <n v="36720"/>
    <x v="1"/>
    <x v="0"/>
  </r>
  <r>
    <n v="1940"/>
    <x v="57"/>
    <x v="235"/>
    <n v="45"/>
    <n v="12"/>
    <x v="1"/>
    <x v="3"/>
    <x v="1"/>
    <s v="no"/>
    <x v="1"/>
    <x v="1"/>
    <n v="108933"/>
    <n v="108933"/>
    <x v="1"/>
    <x v="1"/>
  </r>
  <r>
    <n v="4239"/>
    <x v="247"/>
    <x v="353"/>
    <n v="40"/>
    <n v="9"/>
    <x v="0"/>
    <x v="2"/>
    <x v="3"/>
    <s v="no"/>
    <x v="0"/>
    <x v="2"/>
    <n v="85000"/>
    <n v="42500"/>
    <x v="2"/>
    <x v="0"/>
  </r>
  <r>
    <n v="21861"/>
    <x v="179"/>
    <x v="205"/>
    <n v="30"/>
    <n v="5"/>
    <x v="1"/>
    <x v="0"/>
    <x v="0"/>
    <s v="no"/>
    <x v="0"/>
    <x v="1"/>
    <n v="108320"/>
    <n v="54160"/>
    <x v="2"/>
    <x v="0"/>
  </r>
  <r>
    <n v="15554"/>
    <x v="16"/>
    <x v="107"/>
    <n v="64"/>
    <n v="6"/>
    <x v="1"/>
    <x v="1"/>
    <x v="1"/>
    <s v="no"/>
    <x v="0"/>
    <x v="1"/>
    <n v="122000"/>
    <n v="61000"/>
    <x v="1"/>
    <x v="1"/>
  </r>
  <r>
    <n v="20235"/>
    <x v="228"/>
    <x v="354"/>
    <n v="32"/>
    <n v="6"/>
    <x v="0"/>
    <x v="4"/>
    <x v="2"/>
    <s v="no"/>
    <x v="3"/>
    <x v="1"/>
    <n v="98000"/>
    <n v="78400"/>
    <x v="1"/>
    <x v="0"/>
  </r>
  <r>
    <n v="14926"/>
    <x v="59"/>
    <x v="355"/>
    <n v="53"/>
    <n v="14"/>
    <x v="1"/>
    <x v="4"/>
    <x v="0"/>
    <s v="no"/>
    <x v="0"/>
    <x v="2"/>
    <n v="107000"/>
    <n v="53500"/>
    <x v="2"/>
    <x v="1"/>
  </r>
  <r>
    <n v="12014"/>
    <x v="1"/>
    <x v="37"/>
    <n v="45"/>
    <n v="11"/>
    <x v="1"/>
    <x v="0"/>
    <x v="0"/>
    <s v="yes"/>
    <x v="1"/>
    <x v="4"/>
    <n v="147194"/>
    <n v="147194"/>
    <x v="1"/>
    <x v="1"/>
  </r>
  <r>
    <n v="10965"/>
    <x v="300"/>
    <x v="356"/>
    <n v="61"/>
    <n v="14"/>
    <x v="1"/>
    <x v="0"/>
    <x v="3"/>
    <s v="no"/>
    <x v="1"/>
    <x v="2"/>
    <n v="91816"/>
    <n v="91816"/>
    <x v="0"/>
    <x v="1"/>
  </r>
  <r>
    <n v="14986"/>
    <x v="301"/>
    <x v="357"/>
    <n v="31"/>
    <n v="13"/>
    <x v="0"/>
    <x v="1"/>
    <x v="3"/>
    <s v="no"/>
    <x v="5"/>
    <x v="0"/>
    <n v="115000"/>
    <n v="69000"/>
    <x v="0"/>
    <x v="0"/>
  </r>
  <r>
    <n v="20551"/>
    <x v="302"/>
    <x v="358"/>
    <n v="36"/>
    <n v="3"/>
    <x v="0"/>
    <x v="3"/>
    <x v="3"/>
    <s v="no"/>
    <x v="1"/>
    <x v="2"/>
    <n v="95782"/>
    <n v="95782"/>
    <x v="2"/>
    <x v="0"/>
  </r>
  <r>
    <n v="17445"/>
    <x v="303"/>
    <x v="124"/>
    <n v="47"/>
    <n v="27"/>
    <x v="0"/>
    <x v="3"/>
    <x v="1"/>
    <s v="no"/>
    <x v="3"/>
    <x v="1"/>
    <n v="102735"/>
    <n v="82188"/>
    <x v="2"/>
    <x v="1"/>
  </r>
  <r>
    <n v="4476"/>
    <x v="145"/>
    <x v="295"/>
    <n v="48"/>
    <n v="21"/>
    <x v="1"/>
    <x v="2"/>
    <x v="2"/>
    <s v="yes"/>
    <x v="4"/>
    <x v="3"/>
    <n v="75264"/>
    <n v="30105.599999999999"/>
    <x v="2"/>
    <x v="1"/>
  </r>
  <r>
    <n v="13309"/>
    <x v="276"/>
    <x v="359"/>
    <n v="23"/>
    <n v="2"/>
    <x v="1"/>
    <x v="2"/>
    <x v="3"/>
    <s v="no"/>
    <x v="4"/>
    <x v="3"/>
    <n v="80284"/>
    <n v="32113.599999999999"/>
    <x v="2"/>
    <x v="2"/>
  </r>
  <r>
    <n v="19580"/>
    <x v="52"/>
    <x v="360"/>
    <n v="38"/>
    <n v="16"/>
    <x v="0"/>
    <x v="4"/>
    <x v="3"/>
    <s v="no"/>
    <x v="1"/>
    <x v="2"/>
    <n v="94051"/>
    <n v="94051"/>
    <x v="1"/>
    <x v="0"/>
  </r>
  <r>
    <n v="6915"/>
    <x v="304"/>
    <x v="361"/>
    <n v="38"/>
    <n v="17"/>
    <x v="1"/>
    <x v="0"/>
    <x v="2"/>
    <s v="no"/>
    <x v="1"/>
    <x v="2"/>
    <n v="93522"/>
    <n v="93522"/>
    <x v="2"/>
    <x v="0"/>
  </r>
  <r>
    <n v="9033"/>
    <x v="144"/>
    <x v="362"/>
    <n v="57"/>
    <n v="6"/>
    <x v="0"/>
    <x v="0"/>
    <x v="2"/>
    <s v="yes"/>
    <x v="1"/>
    <x v="3"/>
    <n v="68575"/>
    <n v="68575"/>
    <x v="2"/>
    <x v="1"/>
  </r>
  <r>
    <n v="14926"/>
    <x v="59"/>
    <x v="355"/>
    <n v="53"/>
    <n v="14"/>
    <x v="1"/>
    <x v="4"/>
    <x v="1"/>
    <s v="no"/>
    <x v="0"/>
    <x v="2"/>
    <n v="107000"/>
    <n v="53500"/>
    <x v="2"/>
    <x v="1"/>
  </r>
  <r>
    <n v="2141"/>
    <x v="305"/>
    <x v="363"/>
    <n v="43"/>
    <n v="24"/>
    <x v="1"/>
    <x v="1"/>
    <x v="2"/>
    <s v="no"/>
    <x v="1"/>
    <x v="1"/>
    <n v="112087"/>
    <n v="112087"/>
    <x v="1"/>
    <x v="0"/>
  </r>
  <r>
    <n v="14975"/>
    <x v="244"/>
    <x v="55"/>
    <n v="30"/>
    <n v="11"/>
    <x v="0"/>
    <x v="2"/>
    <x v="3"/>
    <s v="no"/>
    <x v="0"/>
    <x v="1"/>
    <n v="98000"/>
    <n v="49000"/>
    <x v="0"/>
    <x v="0"/>
  </r>
  <r>
    <n v="742"/>
    <x v="306"/>
    <x v="28"/>
    <n v="48"/>
    <n v="9"/>
    <x v="1"/>
    <x v="1"/>
    <x v="2"/>
    <s v="no"/>
    <x v="0"/>
    <x v="2"/>
    <n v="91800"/>
    <n v="45900"/>
    <x v="0"/>
    <x v="1"/>
  </r>
  <r>
    <n v="17723"/>
    <x v="307"/>
    <x v="357"/>
    <n v="31"/>
    <n v="5"/>
    <x v="0"/>
    <x v="3"/>
    <x v="3"/>
    <s v="no"/>
    <x v="5"/>
    <x v="3"/>
    <n v="68000"/>
    <n v="40800"/>
    <x v="2"/>
    <x v="0"/>
  </r>
  <r>
    <n v="18330"/>
    <x v="308"/>
    <x v="4"/>
    <n v="40"/>
    <n v="3"/>
    <x v="0"/>
    <x v="0"/>
    <x v="1"/>
    <s v="no"/>
    <x v="0"/>
    <x v="0"/>
    <n v="124027"/>
    <n v="62013.5"/>
    <x v="1"/>
    <x v="0"/>
  </r>
  <r>
    <n v="22662"/>
    <x v="57"/>
    <x v="364"/>
    <n v="36"/>
    <n v="16"/>
    <x v="1"/>
    <x v="2"/>
    <x v="1"/>
    <s v="no"/>
    <x v="1"/>
    <x v="1"/>
    <n v="117807"/>
    <n v="117807"/>
    <x v="2"/>
    <x v="0"/>
  </r>
  <r>
    <n v="7143"/>
    <x v="126"/>
    <x v="13"/>
    <n v="34"/>
    <n v="6"/>
    <x v="1"/>
    <x v="3"/>
    <x v="3"/>
    <s v="no"/>
    <x v="0"/>
    <x v="0"/>
    <n v="124200"/>
    <n v="62100"/>
    <x v="2"/>
    <x v="0"/>
  </r>
  <r>
    <n v="12621"/>
    <x v="30"/>
    <x v="365"/>
    <n v="41"/>
    <n v="23"/>
    <x v="0"/>
    <x v="3"/>
    <x v="3"/>
    <s v="no"/>
    <x v="1"/>
    <x v="1"/>
    <n v="105672"/>
    <n v="105672"/>
    <x v="2"/>
    <x v="0"/>
  </r>
  <r>
    <n v="14819"/>
    <x v="16"/>
    <x v="11"/>
    <n v="54"/>
    <n v="36"/>
    <x v="1"/>
    <x v="2"/>
    <x v="3"/>
    <s v="yes"/>
    <x v="0"/>
    <x v="3"/>
    <n v="73440"/>
    <n v="36720"/>
    <x v="0"/>
    <x v="1"/>
  </r>
  <r>
    <n v="2979"/>
    <x v="72"/>
    <x v="366"/>
    <n v="54"/>
    <n v="21"/>
    <x v="0"/>
    <x v="1"/>
    <x v="3"/>
    <s v="yes"/>
    <x v="4"/>
    <x v="1"/>
    <n v="98000"/>
    <n v="39200"/>
    <x v="0"/>
    <x v="1"/>
  </r>
  <r>
    <n v="22452"/>
    <x v="50"/>
    <x v="13"/>
    <n v="61"/>
    <n v="40"/>
    <x v="0"/>
    <x v="1"/>
    <x v="5"/>
    <s v="yes"/>
    <x v="3"/>
    <x v="4"/>
    <n v="130000"/>
    <n v="104000"/>
    <x v="0"/>
    <x v="1"/>
  </r>
  <r>
    <n v="11506"/>
    <x v="309"/>
    <x v="367"/>
    <n v="34"/>
    <n v="9"/>
    <x v="1"/>
    <x v="4"/>
    <x v="1"/>
    <s v="no"/>
    <x v="1"/>
    <x v="0"/>
    <n v="138000"/>
    <n v="138000"/>
    <x v="1"/>
    <x v="0"/>
  </r>
  <r>
    <n v="21106"/>
    <x v="310"/>
    <x v="368"/>
    <n v="34"/>
    <n v="2"/>
    <x v="0"/>
    <x v="1"/>
    <x v="3"/>
    <s v="no"/>
    <x v="1"/>
    <x v="2"/>
    <n v="88356"/>
    <n v="88356"/>
    <x v="1"/>
    <x v="0"/>
  </r>
  <r>
    <n v="10973"/>
    <x v="167"/>
    <x v="28"/>
    <n v="46"/>
    <n v="12"/>
    <x v="1"/>
    <x v="0"/>
    <x v="0"/>
    <s v="no"/>
    <x v="1"/>
    <x v="0"/>
    <n v="138000"/>
    <n v="138000"/>
    <x v="2"/>
    <x v="1"/>
  </r>
  <r>
    <n v="4770"/>
    <x v="311"/>
    <x v="369"/>
    <n v="64"/>
    <n v="2"/>
    <x v="1"/>
    <x v="0"/>
    <x v="3"/>
    <s v="no"/>
    <x v="1"/>
    <x v="1"/>
    <n v="122000"/>
    <n v="122000"/>
    <x v="1"/>
    <x v="1"/>
  </r>
  <r>
    <n v="10527"/>
    <x v="312"/>
    <x v="370"/>
    <n v="28"/>
    <n v="5"/>
    <x v="0"/>
    <x v="4"/>
    <x v="3"/>
    <s v="no"/>
    <x v="0"/>
    <x v="3"/>
    <n v="68000"/>
    <n v="34000"/>
    <x v="2"/>
    <x v="0"/>
  </r>
  <r>
    <n v="17304"/>
    <x v="313"/>
    <x v="371"/>
    <n v="54"/>
    <n v="12"/>
    <x v="0"/>
    <x v="2"/>
    <x v="0"/>
    <s v="no"/>
    <x v="3"/>
    <x v="1"/>
    <n v="98000"/>
    <n v="78400"/>
    <x v="2"/>
    <x v="1"/>
  </r>
  <r>
    <n v="10821"/>
    <x v="296"/>
    <x v="372"/>
    <n v="42"/>
    <n v="13"/>
    <x v="0"/>
    <x v="4"/>
    <x v="2"/>
    <s v="no"/>
    <x v="4"/>
    <x v="3"/>
    <n v="68203"/>
    <n v="27281.200000000001"/>
    <x v="2"/>
    <x v="0"/>
  </r>
  <r>
    <n v="22539"/>
    <x v="314"/>
    <x v="373"/>
    <n v="36"/>
    <n v="1"/>
    <x v="1"/>
    <x v="1"/>
    <x v="3"/>
    <s v="no"/>
    <x v="1"/>
    <x v="0"/>
    <n v="138000"/>
    <n v="138000"/>
    <x v="1"/>
    <x v="0"/>
  </r>
  <r>
    <n v="14069"/>
    <x v="35"/>
    <x v="374"/>
    <n v="42"/>
    <n v="10"/>
    <x v="1"/>
    <x v="1"/>
    <x v="2"/>
    <s v="no"/>
    <x v="1"/>
    <x v="1"/>
    <n v="106646"/>
    <n v="106646"/>
    <x v="2"/>
    <x v="0"/>
  </r>
  <r>
    <n v="11375"/>
    <x v="315"/>
    <x v="375"/>
    <n v="35"/>
    <n v="3"/>
    <x v="0"/>
    <x v="4"/>
    <x v="3"/>
    <s v="no"/>
    <x v="1"/>
    <x v="1"/>
    <n v="98000"/>
    <n v="98000"/>
    <x v="2"/>
    <x v="0"/>
  </r>
  <r>
    <n v="13872"/>
    <x v="35"/>
    <x v="376"/>
    <n v="56"/>
    <n v="18"/>
    <x v="1"/>
    <x v="2"/>
    <x v="3"/>
    <s v="no"/>
    <x v="3"/>
    <x v="3"/>
    <n v="79700"/>
    <n v="63760"/>
    <x v="0"/>
    <x v="1"/>
  </r>
  <r>
    <n v="10375"/>
    <x v="316"/>
    <x v="377"/>
    <n v="45"/>
    <n v="27"/>
    <x v="1"/>
    <x v="3"/>
    <x v="0"/>
    <s v="yes"/>
    <x v="0"/>
    <x v="0"/>
    <n v="125195"/>
    <n v="62597.5"/>
    <x v="2"/>
    <x v="1"/>
  </r>
  <r>
    <n v="18853"/>
    <x v="317"/>
    <x v="378"/>
    <n v="34"/>
    <n v="13"/>
    <x v="1"/>
    <x v="1"/>
    <x v="1"/>
    <s v="no"/>
    <x v="1"/>
    <x v="1"/>
    <n v="121217"/>
    <n v="121217"/>
    <x v="1"/>
    <x v="0"/>
  </r>
  <r>
    <n v="21639"/>
    <x v="0"/>
    <x v="0"/>
    <n v="32"/>
    <n v="2"/>
    <x v="0"/>
    <x v="0"/>
    <x v="1"/>
    <s v="no"/>
    <x v="0"/>
    <x v="0"/>
    <n v="118086"/>
    <n v="59043"/>
    <x v="0"/>
    <x v="0"/>
  </r>
  <r>
    <n v="4857"/>
    <x v="275"/>
    <x v="379"/>
    <n v="49"/>
    <n v="18"/>
    <x v="1"/>
    <x v="3"/>
    <x v="1"/>
    <s v="no"/>
    <x v="1"/>
    <x v="2"/>
    <n v="103090"/>
    <n v="103090"/>
    <x v="1"/>
    <x v="1"/>
  </r>
  <r>
    <n v="6973"/>
    <x v="318"/>
    <x v="380"/>
    <n v="46"/>
    <n v="11"/>
    <x v="1"/>
    <x v="3"/>
    <x v="2"/>
    <s v="no"/>
    <x v="1"/>
    <x v="1"/>
    <n v="119761"/>
    <n v="119761"/>
    <x v="1"/>
    <x v="1"/>
  </r>
  <r>
    <n v="14464"/>
    <x v="209"/>
    <x v="49"/>
    <n v="42"/>
    <n v="9"/>
    <x v="0"/>
    <x v="0"/>
    <x v="2"/>
    <s v="yes"/>
    <x v="1"/>
    <x v="1"/>
    <n v="104615"/>
    <n v="104615"/>
    <x v="0"/>
    <x v="0"/>
  </r>
  <r>
    <n v="22475"/>
    <x v="18"/>
    <x v="381"/>
    <n v="38"/>
    <n v="12"/>
    <x v="0"/>
    <x v="3"/>
    <x v="0"/>
    <s v="no"/>
    <x v="0"/>
    <x v="1"/>
    <n v="98346"/>
    <n v="49173"/>
    <x v="0"/>
    <x v="0"/>
  </r>
  <r>
    <n v="13110"/>
    <x v="79"/>
    <x v="382"/>
    <n v="36"/>
    <n v="7"/>
    <x v="0"/>
    <x v="1"/>
    <x v="3"/>
    <s v="no"/>
    <x v="0"/>
    <x v="2"/>
    <n v="85000"/>
    <n v="42500"/>
    <x v="0"/>
    <x v="0"/>
  </r>
  <r>
    <n v="6389"/>
    <x v="229"/>
    <x v="60"/>
    <n v="22"/>
    <n v="2"/>
    <x v="0"/>
    <x v="2"/>
    <x v="1"/>
    <s v="no"/>
    <x v="3"/>
    <x v="1"/>
    <n v="98000"/>
    <n v="78400"/>
    <x v="0"/>
    <x v="2"/>
  </r>
  <r>
    <n v="20856"/>
    <x v="319"/>
    <x v="383"/>
    <n v="50"/>
    <n v="8"/>
    <x v="0"/>
    <x v="2"/>
    <x v="1"/>
    <s v="no"/>
    <x v="0"/>
    <x v="0"/>
    <n v="115000"/>
    <n v="57500"/>
    <x v="2"/>
    <x v="1"/>
  </r>
  <r>
    <n v="19335"/>
    <x v="46"/>
    <x v="33"/>
    <n v="59"/>
    <n v="33"/>
    <x v="0"/>
    <x v="3"/>
    <x v="0"/>
    <s v="yes"/>
    <x v="1"/>
    <x v="4"/>
    <n v="130000"/>
    <n v="130000"/>
    <x v="0"/>
    <x v="1"/>
  </r>
  <r>
    <n v="10548"/>
    <x v="96"/>
    <x v="384"/>
    <n v="52"/>
    <n v="6"/>
    <x v="0"/>
    <x v="4"/>
    <x v="4"/>
    <s v="yes"/>
    <x v="0"/>
    <x v="1"/>
    <n v="98000"/>
    <n v="49000"/>
    <x v="2"/>
    <x v="1"/>
  </r>
  <r>
    <n v="13993"/>
    <x v="320"/>
    <x v="22"/>
    <n v="50"/>
    <n v="9"/>
    <x v="0"/>
    <x v="4"/>
    <x v="3"/>
    <s v="no"/>
    <x v="1"/>
    <x v="1"/>
    <n v="104260"/>
    <n v="104260"/>
    <x v="2"/>
    <x v="1"/>
  </r>
  <r>
    <n v="18641"/>
    <x v="321"/>
    <x v="385"/>
    <n v="34"/>
    <n v="12"/>
    <x v="0"/>
    <x v="2"/>
    <x v="1"/>
    <s v="no"/>
    <x v="4"/>
    <x v="2"/>
    <n v="85000"/>
    <n v="34000"/>
    <x v="0"/>
    <x v="0"/>
  </r>
  <r>
    <n v="700"/>
    <x v="8"/>
    <x v="386"/>
    <n v="39"/>
    <n v="18"/>
    <x v="1"/>
    <x v="4"/>
    <x v="3"/>
    <s v="no"/>
    <x v="1"/>
    <x v="2"/>
    <n v="101614"/>
    <n v="101614"/>
    <x v="1"/>
    <x v="0"/>
  </r>
  <r>
    <n v="10169"/>
    <x v="52"/>
    <x v="3"/>
    <n v="42"/>
    <n v="5"/>
    <x v="0"/>
    <x v="0"/>
    <x v="0"/>
    <s v="no"/>
    <x v="0"/>
    <x v="1"/>
    <n v="98000"/>
    <n v="49000"/>
    <x v="2"/>
    <x v="0"/>
  </r>
  <r>
    <n v="10644"/>
    <x v="322"/>
    <x v="387"/>
    <n v="29"/>
    <n v="1"/>
    <x v="0"/>
    <x v="2"/>
    <x v="1"/>
    <s v="no"/>
    <x v="0"/>
    <x v="2"/>
    <n v="85116"/>
    <n v="42558"/>
    <x v="2"/>
    <x v="0"/>
  </r>
  <r>
    <n v="10088"/>
    <x v="101"/>
    <x v="388"/>
    <n v="57"/>
    <n v="3"/>
    <x v="1"/>
    <x v="1"/>
    <x v="1"/>
    <s v="no"/>
    <x v="1"/>
    <x v="2"/>
    <n v="102050"/>
    <n v="102050"/>
    <x v="1"/>
    <x v="1"/>
  </r>
  <r>
    <n v="7574"/>
    <x v="160"/>
    <x v="389"/>
    <n v="21"/>
    <n v="1"/>
    <x v="1"/>
    <x v="0"/>
    <x v="1"/>
    <s v="no"/>
    <x v="0"/>
    <x v="0"/>
    <n v="138000"/>
    <n v="69000"/>
    <x v="1"/>
    <x v="2"/>
  </r>
  <r>
    <n v="14773"/>
    <x v="323"/>
    <x v="250"/>
    <n v="42"/>
    <n v="20"/>
    <x v="0"/>
    <x v="4"/>
    <x v="6"/>
    <s v="no"/>
    <x v="4"/>
    <x v="2"/>
    <n v="86880"/>
    <n v="34752"/>
    <x v="0"/>
    <x v="0"/>
  </r>
  <r>
    <n v="19691"/>
    <x v="324"/>
    <x v="390"/>
    <n v="33"/>
    <n v="9"/>
    <x v="0"/>
    <x v="3"/>
    <x v="1"/>
    <s v="no"/>
    <x v="1"/>
    <x v="2"/>
    <n v="85000"/>
    <n v="85000"/>
    <x v="2"/>
    <x v="0"/>
  </r>
  <r>
    <n v="20566"/>
    <x v="29"/>
    <x v="107"/>
    <n v="46"/>
    <n v="2"/>
    <x v="1"/>
    <x v="2"/>
    <x v="1"/>
    <s v="no"/>
    <x v="4"/>
    <x v="2"/>
    <n v="91800"/>
    <n v="36720"/>
    <x v="2"/>
    <x v="1"/>
  </r>
  <r>
    <n v="22140"/>
    <x v="325"/>
    <x v="391"/>
    <n v="21"/>
    <n v="3"/>
    <x v="0"/>
    <x v="4"/>
    <x v="2"/>
    <s v="no"/>
    <x v="1"/>
    <x v="1"/>
    <n v="98699"/>
    <n v="98699"/>
    <x v="2"/>
    <x v="2"/>
  </r>
  <r>
    <n v="11246"/>
    <x v="207"/>
    <x v="392"/>
    <n v="28"/>
    <n v="5"/>
    <x v="0"/>
    <x v="3"/>
    <x v="1"/>
    <s v="no"/>
    <x v="0"/>
    <x v="2"/>
    <n v="85000"/>
    <n v="42500"/>
    <x v="2"/>
    <x v="0"/>
  </r>
  <r>
    <n v="10375"/>
    <x v="316"/>
    <x v="377"/>
    <n v="45"/>
    <n v="27"/>
    <x v="1"/>
    <x v="3"/>
    <x v="1"/>
    <s v="yes"/>
    <x v="0"/>
    <x v="0"/>
    <n v="125195"/>
    <n v="62597.5"/>
    <x v="2"/>
    <x v="1"/>
  </r>
  <r>
    <n v="15923"/>
    <x v="170"/>
    <x v="1"/>
    <n v="49"/>
    <n v="1"/>
    <x v="0"/>
    <x v="2"/>
    <x v="3"/>
    <s v="no"/>
    <x v="1"/>
    <x v="1"/>
    <n v="106388"/>
    <n v="106388"/>
    <x v="2"/>
    <x v="1"/>
  </r>
  <r>
    <n v="15163"/>
    <x v="109"/>
    <x v="393"/>
    <n v="41"/>
    <n v="12"/>
    <x v="0"/>
    <x v="2"/>
    <x v="1"/>
    <s v="no"/>
    <x v="1"/>
    <x v="2"/>
    <n v="92898"/>
    <n v="92898"/>
    <x v="2"/>
    <x v="0"/>
  </r>
  <r>
    <n v="15175"/>
    <x v="126"/>
    <x v="253"/>
    <n v="39"/>
    <n v="12"/>
    <x v="1"/>
    <x v="3"/>
    <x v="1"/>
    <s v="yes"/>
    <x v="2"/>
    <x v="2"/>
    <n v="91800"/>
    <n v="18360"/>
    <x v="2"/>
    <x v="0"/>
  </r>
  <r>
    <n v="7689"/>
    <x v="326"/>
    <x v="394"/>
    <n v="50"/>
    <n v="21"/>
    <x v="0"/>
    <x v="0"/>
    <x v="3"/>
    <s v="no"/>
    <x v="3"/>
    <x v="0"/>
    <n v="115000"/>
    <n v="92000"/>
    <x v="2"/>
    <x v="1"/>
  </r>
  <r>
    <n v="17437"/>
    <x v="327"/>
    <x v="297"/>
    <n v="58"/>
    <n v="19"/>
    <x v="1"/>
    <x v="2"/>
    <x v="5"/>
    <s v="yes"/>
    <x v="2"/>
    <x v="0"/>
    <n v="124200"/>
    <n v="24840"/>
    <x v="2"/>
    <x v="1"/>
  </r>
  <r>
    <n v="16192"/>
    <x v="328"/>
    <x v="395"/>
    <n v="30"/>
    <n v="0"/>
    <x v="0"/>
    <x v="0"/>
    <x v="2"/>
    <s v="no"/>
    <x v="1"/>
    <x v="3"/>
    <n v="68309"/>
    <n v="68309"/>
    <x v="2"/>
    <x v="0"/>
  </r>
  <r>
    <n v="6247"/>
    <x v="329"/>
    <x v="396"/>
    <n v="59"/>
    <n v="5"/>
    <x v="1"/>
    <x v="0"/>
    <x v="0"/>
    <s v="no"/>
    <x v="0"/>
    <x v="4"/>
    <n v="142279"/>
    <n v="71139.5"/>
    <x v="2"/>
    <x v="1"/>
  </r>
  <r>
    <n v="22276"/>
    <x v="157"/>
    <x v="397"/>
    <n v="23"/>
    <n v="2"/>
    <x v="1"/>
    <x v="2"/>
    <x v="3"/>
    <s v="no"/>
    <x v="1"/>
    <x v="2"/>
    <n v="104237"/>
    <n v="104237"/>
    <x v="1"/>
    <x v="2"/>
  </r>
  <r>
    <n v="3465"/>
    <x v="31"/>
    <x v="398"/>
    <n v="47"/>
    <n v="29"/>
    <x v="1"/>
    <x v="1"/>
    <x v="6"/>
    <s v="yes"/>
    <x v="3"/>
    <x v="4"/>
    <n v="148825"/>
    <n v="119060"/>
    <x v="2"/>
    <x v="1"/>
  </r>
  <r>
    <n v="9986"/>
    <x v="330"/>
    <x v="399"/>
    <n v="31"/>
    <n v="7"/>
    <x v="0"/>
    <x v="4"/>
    <x v="3"/>
    <s v="no"/>
    <x v="3"/>
    <x v="3"/>
    <n v="68000"/>
    <n v="54400"/>
    <x v="0"/>
    <x v="0"/>
  </r>
  <r>
    <n v="17577"/>
    <x v="57"/>
    <x v="400"/>
    <n v="54"/>
    <n v="33"/>
    <x v="1"/>
    <x v="3"/>
    <x v="1"/>
    <s v="yes"/>
    <x v="1"/>
    <x v="1"/>
    <n v="122000"/>
    <n v="122000"/>
    <x v="1"/>
    <x v="1"/>
  </r>
  <r>
    <n v="22440"/>
    <x v="1"/>
    <x v="1"/>
    <n v="40"/>
    <n v="12"/>
    <x v="1"/>
    <x v="1"/>
    <x v="2"/>
    <s v="no"/>
    <x v="3"/>
    <x v="2"/>
    <n v="98927"/>
    <n v="79141.600000000006"/>
    <x v="2"/>
    <x v="0"/>
  </r>
  <r>
    <n v="21427"/>
    <x v="237"/>
    <x v="112"/>
    <n v="34"/>
    <n v="4"/>
    <x v="0"/>
    <x v="4"/>
    <x v="4"/>
    <s v="no"/>
    <x v="5"/>
    <x v="0"/>
    <n v="115000"/>
    <n v="69000"/>
    <x v="2"/>
    <x v="0"/>
  </r>
  <r>
    <n v="20978"/>
    <x v="155"/>
    <x v="401"/>
    <n v="59"/>
    <n v="37"/>
    <x v="0"/>
    <x v="2"/>
    <x v="3"/>
    <s v="no"/>
    <x v="1"/>
    <x v="2"/>
    <n v="93374"/>
    <n v="93374"/>
    <x v="2"/>
    <x v="1"/>
  </r>
  <r>
    <n v="11670"/>
    <x v="39"/>
    <x v="402"/>
    <n v="23"/>
    <n v="4"/>
    <x v="0"/>
    <x v="2"/>
    <x v="1"/>
    <s v="no"/>
    <x v="1"/>
    <x v="0"/>
    <n v="115000"/>
    <n v="115000"/>
    <x v="2"/>
    <x v="2"/>
  </r>
  <r>
    <n v="3747"/>
    <x v="277"/>
    <x v="24"/>
    <n v="40"/>
    <n v="3"/>
    <x v="1"/>
    <x v="1"/>
    <x v="6"/>
    <s v="no"/>
    <x v="0"/>
    <x v="2"/>
    <n v="91800"/>
    <n v="45900"/>
    <x v="0"/>
    <x v="0"/>
  </r>
  <r>
    <n v="8383"/>
    <x v="16"/>
    <x v="26"/>
    <n v="58"/>
    <n v="7"/>
    <x v="1"/>
    <x v="0"/>
    <x v="1"/>
    <s v="yes"/>
    <x v="1"/>
    <x v="4"/>
    <n v="141007"/>
    <n v="141007"/>
    <x v="2"/>
    <x v="1"/>
  </r>
  <r>
    <n v="10858"/>
    <x v="8"/>
    <x v="230"/>
    <n v="53"/>
    <n v="33"/>
    <x v="1"/>
    <x v="2"/>
    <x v="3"/>
    <s v="no"/>
    <x v="1"/>
    <x v="1"/>
    <n v="107807"/>
    <n v="107807"/>
    <x v="2"/>
    <x v="1"/>
  </r>
  <r>
    <n v="8048"/>
    <x v="203"/>
    <x v="118"/>
    <n v="56"/>
    <n v="6"/>
    <x v="0"/>
    <x v="0"/>
    <x v="3"/>
    <s v="no"/>
    <x v="1"/>
    <x v="0"/>
    <n v="122474"/>
    <n v="122474"/>
    <x v="1"/>
    <x v="1"/>
  </r>
  <r>
    <n v="7212"/>
    <x v="331"/>
    <x v="91"/>
    <n v="36"/>
    <n v="15"/>
    <x v="0"/>
    <x v="4"/>
    <x v="2"/>
    <s v="no"/>
    <x v="3"/>
    <x v="1"/>
    <n v="98000"/>
    <n v="78400"/>
    <x v="0"/>
    <x v="0"/>
  </r>
  <r>
    <n v="5515"/>
    <x v="332"/>
    <x v="403"/>
    <n v="48"/>
    <n v="21"/>
    <x v="0"/>
    <x v="2"/>
    <x v="4"/>
    <s v="yes"/>
    <x v="0"/>
    <x v="0"/>
    <n v="115000"/>
    <n v="57500"/>
    <x v="0"/>
    <x v="1"/>
  </r>
  <r>
    <n v="1487"/>
    <x v="333"/>
    <x v="178"/>
    <n v="60"/>
    <n v="34"/>
    <x v="0"/>
    <x v="3"/>
    <x v="0"/>
    <s v="yes"/>
    <x v="3"/>
    <x v="1"/>
    <n v="98000"/>
    <n v="78400"/>
    <x v="0"/>
    <x v="1"/>
  </r>
  <r>
    <n v="2201"/>
    <x v="334"/>
    <x v="84"/>
    <n v="37"/>
    <n v="14"/>
    <x v="0"/>
    <x v="3"/>
    <x v="2"/>
    <s v="no"/>
    <x v="1"/>
    <x v="2"/>
    <n v="85000"/>
    <n v="85000"/>
    <x v="2"/>
    <x v="0"/>
  </r>
  <r>
    <n v="8710"/>
    <x v="110"/>
    <x v="230"/>
    <n v="39"/>
    <n v="12"/>
    <x v="0"/>
    <x v="4"/>
    <x v="3"/>
    <s v="no"/>
    <x v="1"/>
    <x v="2"/>
    <n v="85000"/>
    <n v="85000"/>
    <x v="2"/>
    <x v="0"/>
  </r>
  <r>
    <n v="16256"/>
    <x v="335"/>
    <x v="404"/>
    <n v="39"/>
    <n v="13"/>
    <x v="1"/>
    <x v="2"/>
    <x v="1"/>
    <s v="no"/>
    <x v="0"/>
    <x v="0"/>
    <n v="124200"/>
    <n v="62100"/>
    <x v="2"/>
    <x v="0"/>
  </r>
  <r>
    <n v="20717"/>
    <x v="245"/>
    <x v="40"/>
    <n v="52"/>
    <n v="10"/>
    <x v="1"/>
    <x v="1"/>
    <x v="1"/>
    <s v="no"/>
    <x v="1"/>
    <x v="1"/>
    <n v="122000"/>
    <n v="122000"/>
    <x v="1"/>
    <x v="1"/>
  </r>
  <r>
    <n v="3073"/>
    <x v="146"/>
    <x v="124"/>
    <n v="31"/>
    <n v="3"/>
    <x v="1"/>
    <x v="1"/>
    <x v="1"/>
    <s v="no"/>
    <x v="1"/>
    <x v="2"/>
    <n v="96045"/>
    <n v="96045"/>
    <x v="2"/>
    <x v="0"/>
  </r>
  <r>
    <n v="15610"/>
    <x v="336"/>
    <x v="405"/>
    <n v="28"/>
    <n v="5"/>
    <x v="1"/>
    <x v="1"/>
    <x v="2"/>
    <s v="no"/>
    <x v="4"/>
    <x v="3"/>
    <n v="73910"/>
    <n v="29564"/>
    <x v="1"/>
    <x v="0"/>
  </r>
  <r>
    <n v="14267"/>
    <x v="117"/>
    <x v="406"/>
    <n v="43"/>
    <n v="7"/>
    <x v="0"/>
    <x v="0"/>
    <x v="6"/>
    <s v="yes"/>
    <x v="1"/>
    <x v="4"/>
    <n v="138652"/>
    <n v="138652"/>
    <x v="2"/>
    <x v="0"/>
  </r>
  <r>
    <n v="21323"/>
    <x v="118"/>
    <x v="407"/>
    <n v="30"/>
    <n v="5"/>
    <x v="0"/>
    <x v="3"/>
    <x v="1"/>
    <s v="no"/>
    <x v="1"/>
    <x v="1"/>
    <n v="111575"/>
    <n v="111575"/>
    <x v="2"/>
    <x v="0"/>
  </r>
  <r>
    <n v="19550"/>
    <x v="146"/>
    <x v="84"/>
    <n v="36"/>
    <n v="9"/>
    <x v="1"/>
    <x v="1"/>
    <x v="1"/>
    <s v="no"/>
    <x v="0"/>
    <x v="1"/>
    <n v="110458"/>
    <n v="55229"/>
    <x v="1"/>
    <x v="0"/>
  </r>
  <r>
    <n v="7058"/>
    <x v="337"/>
    <x v="118"/>
    <n v="44"/>
    <n v="1"/>
    <x v="0"/>
    <x v="1"/>
    <x v="3"/>
    <s v="yes"/>
    <x v="5"/>
    <x v="3"/>
    <n v="68000"/>
    <n v="40800"/>
    <x v="2"/>
    <x v="0"/>
  </r>
  <r>
    <n v="13269"/>
    <x v="189"/>
    <x v="408"/>
    <n v="26"/>
    <n v="6"/>
    <x v="1"/>
    <x v="1"/>
    <x v="1"/>
    <s v="no"/>
    <x v="3"/>
    <x v="1"/>
    <n v="105840"/>
    <n v="84672"/>
    <x v="0"/>
    <x v="0"/>
  </r>
  <r>
    <n v="16886"/>
    <x v="120"/>
    <x v="409"/>
    <n v="34"/>
    <n v="1"/>
    <x v="0"/>
    <x v="1"/>
    <x v="4"/>
    <s v="no"/>
    <x v="4"/>
    <x v="4"/>
    <n v="130000"/>
    <n v="52000"/>
    <x v="0"/>
    <x v="0"/>
  </r>
  <r>
    <n v="10982"/>
    <x v="230"/>
    <x v="263"/>
    <n v="38"/>
    <n v="14"/>
    <x v="0"/>
    <x v="3"/>
    <x v="0"/>
    <s v="no"/>
    <x v="0"/>
    <x v="0"/>
    <n v="115000"/>
    <n v="57500"/>
    <x v="2"/>
    <x v="0"/>
  </r>
  <r>
    <n v="13782"/>
    <x v="338"/>
    <x v="410"/>
    <n v="42"/>
    <n v="18"/>
    <x v="0"/>
    <x v="4"/>
    <x v="3"/>
    <s v="no"/>
    <x v="1"/>
    <x v="2"/>
    <n v="89889"/>
    <n v="89889"/>
    <x v="2"/>
    <x v="0"/>
  </r>
  <r>
    <n v="8681"/>
    <x v="339"/>
    <x v="28"/>
    <n v="31"/>
    <n v="11"/>
    <x v="0"/>
    <x v="2"/>
    <x v="2"/>
    <s v="no"/>
    <x v="0"/>
    <x v="3"/>
    <n v="68000"/>
    <n v="34000"/>
    <x v="2"/>
    <x v="0"/>
  </r>
  <r>
    <n v="5522"/>
    <x v="340"/>
    <x v="411"/>
    <n v="42"/>
    <n v="8"/>
    <x v="1"/>
    <x v="1"/>
    <x v="6"/>
    <s v="yes"/>
    <x v="3"/>
    <x v="1"/>
    <n v="105840"/>
    <n v="84672"/>
    <x v="0"/>
    <x v="0"/>
  </r>
  <r>
    <n v="5751"/>
    <x v="285"/>
    <x v="327"/>
    <n v="42"/>
    <n v="21"/>
    <x v="1"/>
    <x v="1"/>
    <x v="1"/>
    <s v="no"/>
    <x v="0"/>
    <x v="1"/>
    <n v="122000"/>
    <n v="61000"/>
    <x v="1"/>
    <x v="0"/>
  </r>
  <r>
    <n v="22184"/>
    <x v="116"/>
    <x v="3"/>
    <n v="64"/>
    <n v="29"/>
    <x v="1"/>
    <x v="4"/>
    <x v="2"/>
    <s v="no"/>
    <x v="1"/>
    <x v="2"/>
    <n v="92065"/>
    <n v="92065"/>
    <x v="2"/>
    <x v="1"/>
  </r>
  <r>
    <n v="868"/>
    <x v="341"/>
    <x v="95"/>
    <n v="47"/>
    <n v="15"/>
    <x v="0"/>
    <x v="4"/>
    <x v="1"/>
    <s v="yes"/>
    <x v="3"/>
    <x v="2"/>
    <n v="85000"/>
    <n v="68000"/>
    <x v="0"/>
    <x v="1"/>
  </r>
  <r>
    <n v="4179"/>
    <x v="133"/>
    <x v="249"/>
    <n v="32"/>
    <n v="4"/>
    <x v="1"/>
    <x v="1"/>
    <x v="3"/>
    <s v="no"/>
    <x v="5"/>
    <x v="3"/>
    <n v="73440"/>
    <n v="44064"/>
    <x v="2"/>
    <x v="0"/>
  </r>
  <r>
    <n v="14618"/>
    <x v="180"/>
    <x v="359"/>
    <n v="65"/>
    <n v="18"/>
    <x v="1"/>
    <x v="0"/>
    <x v="1"/>
    <s v="no"/>
    <x v="1"/>
    <x v="2"/>
    <n v="107000"/>
    <n v="107000"/>
    <x v="1"/>
    <x v="1"/>
  </r>
  <r>
    <n v="1716"/>
    <x v="162"/>
    <x v="185"/>
    <n v="43"/>
    <n v="10"/>
    <x v="1"/>
    <x v="0"/>
    <x v="0"/>
    <s v="no"/>
    <x v="0"/>
    <x v="2"/>
    <n v="107000"/>
    <n v="53500"/>
    <x v="1"/>
    <x v="0"/>
  </r>
  <r>
    <n v="7857"/>
    <x v="104"/>
    <x v="412"/>
    <n v="27"/>
    <n v="6"/>
    <x v="1"/>
    <x v="1"/>
    <x v="2"/>
    <s v="no"/>
    <x v="1"/>
    <x v="1"/>
    <n v="118039"/>
    <n v="118039"/>
    <x v="1"/>
    <x v="0"/>
  </r>
  <r>
    <n v="6450"/>
    <x v="277"/>
    <x v="362"/>
    <n v="46"/>
    <n v="27"/>
    <x v="1"/>
    <x v="0"/>
    <x v="1"/>
    <s v="no"/>
    <x v="1"/>
    <x v="2"/>
    <n v="93317"/>
    <n v="93317"/>
    <x v="2"/>
    <x v="1"/>
  </r>
  <r>
    <n v="17659"/>
    <x v="31"/>
    <x v="413"/>
    <n v="42"/>
    <n v="13"/>
    <x v="1"/>
    <x v="1"/>
    <x v="4"/>
    <s v="yes"/>
    <x v="5"/>
    <x v="0"/>
    <n v="124200"/>
    <n v="74520"/>
    <x v="2"/>
    <x v="0"/>
  </r>
  <r>
    <n v="15909"/>
    <x v="342"/>
    <x v="414"/>
    <n v="26"/>
    <n v="8"/>
    <x v="0"/>
    <x v="4"/>
    <x v="2"/>
    <s v="no"/>
    <x v="1"/>
    <x v="2"/>
    <n v="87471"/>
    <n v="87471"/>
    <x v="2"/>
    <x v="0"/>
  </r>
  <r>
    <n v="2332"/>
    <x v="35"/>
    <x v="404"/>
    <n v="49"/>
    <n v="8"/>
    <x v="1"/>
    <x v="4"/>
    <x v="3"/>
    <s v="yes"/>
    <x v="5"/>
    <x v="3"/>
    <n v="73440"/>
    <n v="44064"/>
    <x v="0"/>
    <x v="1"/>
  </r>
  <r>
    <n v="18952"/>
    <x v="8"/>
    <x v="415"/>
    <n v="35"/>
    <n v="13"/>
    <x v="1"/>
    <x v="2"/>
    <x v="3"/>
    <s v="no"/>
    <x v="1"/>
    <x v="2"/>
    <n v="92944"/>
    <n v="92944"/>
    <x v="2"/>
    <x v="0"/>
  </r>
  <r>
    <n v="8852"/>
    <x v="343"/>
    <x v="416"/>
    <n v="45"/>
    <n v="21"/>
    <x v="1"/>
    <x v="1"/>
    <x v="1"/>
    <s v="no"/>
    <x v="1"/>
    <x v="1"/>
    <n v="122000"/>
    <n v="122000"/>
    <x v="1"/>
    <x v="1"/>
  </r>
  <r>
    <n v="4663"/>
    <x v="344"/>
    <x v="417"/>
    <n v="47"/>
    <n v="2"/>
    <x v="0"/>
    <x v="3"/>
    <x v="3"/>
    <s v="no"/>
    <x v="1"/>
    <x v="1"/>
    <n v="103082"/>
    <n v="103082"/>
    <x v="1"/>
    <x v="1"/>
  </r>
  <r>
    <n v="15644"/>
    <x v="345"/>
    <x v="173"/>
    <n v="27"/>
    <n v="3"/>
    <x v="0"/>
    <x v="2"/>
    <x v="3"/>
    <s v="no"/>
    <x v="3"/>
    <x v="3"/>
    <n v="68000"/>
    <n v="54400"/>
    <x v="0"/>
    <x v="0"/>
  </r>
  <r>
    <n v="5056"/>
    <x v="41"/>
    <x v="418"/>
    <n v="53"/>
    <n v="16"/>
    <x v="1"/>
    <x v="2"/>
    <x v="2"/>
    <s v="no"/>
    <x v="1"/>
    <x v="1"/>
    <n v="122000"/>
    <n v="122000"/>
    <x v="2"/>
    <x v="1"/>
  </r>
  <r>
    <n v="15912"/>
    <x v="346"/>
    <x v="419"/>
    <n v="55"/>
    <n v="31"/>
    <x v="0"/>
    <x v="0"/>
    <x v="2"/>
    <s v="no"/>
    <x v="1"/>
    <x v="2"/>
    <n v="85000"/>
    <n v="85000"/>
    <x v="2"/>
    <x v="1"/>
  </r>
  <r>
    <n v="22562"/>
    <x v="146"/>
    <x v="420"/>
    <n v="55"/>
    <n v="15"/>
    <x v="1"/>
    <x v="0"/>
    <x v="2"/>
    <s v="no"/>
    <x v="1"/>
    <x v="2"/>
    <n v="98998"/>
    <n v="98998"/>
    <x v="2"/>
    <x v="1"/>
  </r>
  <r>
    <n v="18091"/>
    <x v="28"/>
    <x v="13"/>
    <n v="41"/>
    <n v="1"/>
    <x v="0"/>
    <x v="1"/>
    <x v="4"/>
    <s v="no"/>
    <x v="4"/>
    <x v="0"/>
    <n v="115000"/>
    <n v="46000"/>
    <x v="0"/>
    <x v="0"/>
  </r>
  <r>
    <n v="19001"/>
    <x v="65"/>
    <x v="339"/>
    <n v="27"/>
    <n v="7"/>
    <x v="1"/>
    <x v="0"/>
    <x v="2"/>
    <s v="no"/>
    <x v="1"/>
    <x v="1"/>
    <n v="122000"/>
    <n v="122000"/>
    <x v="1"/>
    <x v="0"/>
  </r>
  <r>
    <n v="20198"/>
    <x v="39"/>
    <x v="421"/>
    <n v="31"/>
    <n v="5"/>
    <x v="0"/>
    <x v="2"/>
    <x v="3"/>
    <s v="no"/>
    <x v="3"/>
    <x v="0"/>
    <n v="115000"/>
    <n v="92000"/>
    <x v="1"/>
    <x v="0"/>
  </r>
  <r>
    <n v="11084"/>
    <x v="125"/>
    <x v="284"/>
    <n v="41"/>
    <n v="8"/>
    <x v="0"/>
    <x v="0"/>
    <x v="4"/>
    <s v="no"/>
    <x v="1"/>
    <x v="0"/>
    <n v="117443"/>
    <n v="117443"/>
    <x v="0"/>
    <x v="0"/>
  </r>
  <r>
    <n v="15189"/>
    <x v="157"/>
    <x v="422"/>
    <n v="39"/>
    <n v="18"/>
    <x v="1"/>
    <x v="1"/>
    <x v="1"/>
    <s v="no"/>
    <x v="1"/>
    <x v="1"/>
    <n v="118472"/>
    <n v="118472"/>
    <x v="1"/>
    <x v="0"/>
  </r>
  <r>
    <n v="20762"/>
    <x v="347"/>
    <x v="423"/>
    <n v="30"/>
    <n v="4"/>
    <x v="1"/>
    <x v="1"/>
    <x v="2"/>
    <s v="no"/>
    <x v="1"/>
    <x v="2"/>
    <n v="96506"/>
    <n v="96506"/>
    <x v="2"/>
    <x v="0"/>
  </r>
  <r>
    <n v="17227"/>
    <x v="348"/>
    <x v="81"/>
    <n v="58"/>
    <n v="26"/>
    <x v="0"/>
    <x v="0"/>
    <x v="1"/>
    <s v="yes"/>
    <x v="1"/>
    <x v="0"/>
    <n v="115000"/>
    <n v="115000"/>
    <x v="2"/>
    <x v="1"/>
  </r>
  <r>
    <n v="7574"/>
    <x v="160"/>
    <x v="389"/>
    <n v="21"/>
    <n v="1"/>
    <x v="1"/>
    <x v="0"/>
    <x v="0"/>
    <s v="no"/>
    <x v="0"/>
    <x v="0"/>
    <n v="138000"/>
    <n v="69000"/>
    <x v="1"/>
    <x v="2"/>
  </r>
  <r>
    <n v="14670"/>
    <x v="29"/>
    <x v="30"/>
    <n v="26"/>
    <n v="0"/>
    <x v="1"/>
    <x v="1"/>
    <x v="3"/>
    <s v="no"/>
    <x v="1"/>
    <x v="0"/>
    <n v="127495"/>
    <n v="127495"/>
    <x v="2"/>
    <x v="0"/>
  </r>
  <r>
    <n v="18639"/>
    <x v="6"/>
    <x v="266"/>
    <n v="55"/>
    <n v="17"/>
    <x v="1"/>
    <x v="0"/>
    <x v="1"/>
    <s v="no"/>
    <x v="1"/>
    <x v="4"/>
    <n v="146775"/>
    <n v="146775"/>
    <x v="2"/>
    <x v="1"/>
  </r>
  <r>
    <n v="15298"/>
    <x v="61"/>
    <x v="24"/>
    <n v="40"/>
    <n v="20"/>
    <x v="1"/>
    <x v="4"/>
    <x v="5"/>
    <s v="yes"/>
    <x v="3"/>
    <x v="0"/>
    <n v="124200"/>
    <n v="99360"/>
    <x v="2"/>
    <x v="0"/>
  </r>
  <r>
    <n v="5902"/>
    <x v="255"/>
    <x v="148"/>
    <n v="19"/>
    <n v="0"/>
    <x v="1"/>
    <x v="1"/>
    <x v="3"/>
    <s v="no"/>
    <x v="1"/>
    <x v="1"/>
    <n v="106607"/>
    <n v="106607"/>
    <x v="2"/>
    <x v="2"/>
  </r>
  <r>
    <n v="16241"/>
    <x v="349"/>
    <x v="424"/>
    <n v="64"/>
    <n v="9"/>
    <x v="1"/>
    <x v="1"/>
    <x v="3"/>
    <s v="yes"/>
    <x v="1"/>
    <x v="3"/>
    <n v="87000"/>
    <n v="87000"/>
    <x v="1"/>
    <x v="1"/>
  </r>
  <r>
    <n v="15434"/>
    <x v="18"/>
    <x v="138"/>
    <n v="27"/>
    <n v="6"/>
    <x v="0"/>
    <x v="2"/>
    <x v="1"/>
    <s v="no"/>
    <x v="5"/>
    <x v="1"/>
    <n v="98000"/>
    <n v="58800"/>
    <x v="2"/>
    <x v="0"/>
  </r>
  <r>
    <n v="9180"/>
    <x v="42"/>
    <x v="351"/>
    <n v="47"/>
    <n v="12"/>
    <x v="1"/>
    <x v="0"/>
    <x v="3"/>
    <s v="no"/>
    <x v="1"/>
    <x v="2"/>
    <n v="107000"/>
    <n v="107000"/>
    <x v="0"/>
    <x v="1"/>
  </r>
  <r>
    <n v="8788"/>
    <x v="350"/>
    <x v="425"/>
    <n v="51"/>
    <n v="22"/>
    <x v="1"/>
    <x v="4"/>
    <x v="2"/>
    <s v="no"/>
    <x v="1"/>
    <x v="2"/>
    <n v="100263"/>
    <n v="100263"/>
    <x v="1"/>
    <x v="1"/>
  </r>
  <r>
    <n v="21581"/>
    <x v="285"/>
    <x v="426"/>
    <n v="51"/>
    <n v="33"/>
    <x v="1"/>
    <x v="3"/>
    <x v="3"/>
    <s v="no"/>
    <x v="1"/>
    <x v="2"/>
    <n v="107000"/>
    <n v="107000"/>
    <x v="2"/>
    <x v="1"/>
  </r>
  <r>
    <n v="9773"/>
    <x v="351"/>
    <x v="427"/>
    <n v="28"/>
    <n v="9"/>
    <x v="1"/>
    <x v="2"/>
    <x v="3"/>
    <s v="no"/>
    <x v="1"/>
    <x v="1"/>
    <n v="121808"/>
    <n v="121808"/>
    <x v="2"/>
    <x v="0"/>
  </r>
  <r>
    <n v="17768"/>
    <x v="352"/>
    <x v="216"/>
    <n v="40"/>
    <n v="10"/>
    <x v="0"/>
    <x v="2"/>
    <x v="3"/>
    <s v="no"/>
    <x v="1"/>
    <x v="1"/>
    <n v="107946"/>
    <n v="107946"/>
    <x v="2"/>
    <x v="0"/>
  </r>
  <r>
    <n v="16566"/>
    <x v="268"/>
    <x v="206"/>
    <n v="61"/>
    <n v="16"/>
    <x v="0"/>
    <x v="0"/>
    <x v="5"/>
    <s v="yes"/>
    <x v="5"/>
    <x v="0"/>
    <n v="115000"/>
    <n v="69000"/>
    <x v="2"/>
    <x v="1"/>
  </r>
  <r>
    <n v="21224"/>
    <x v="276"/>
    <x v="428"/>
    <n v="38"/>
    <n v="3"/>
    <x v="1"/>
    <x v="2"/>
    <x v="1"/>
    <s v="no"/>
    <x v="1"/>
    <x v="1"/>
    <n v="122000"/>
    <n v="122000"/>
    <x v="1"/>
    <x v="0"/>
  </r>
  <r>
    <n v="8526"/>
    <x v="353"/>
    <x v="429"/>
    <n v="50"/>
    <n v="27"/>
    <x v="0"/>
    <x v="3"/>
    <x v="2"/>
    <s v="no"/>
    <x v="1"/>
    <x v="2"/>
    <n v="85000"/>
    <n v="85000"/>
    <x v="1"/>
    <x v="1"/>
  </r>
  <r>
    <n v="9685"/>
    <x v="41"/>
    <x v="159"/>
    <n v="47"/>
    <n v="7"/>
    <x v="1"/>
    <x v="3"/>
    <x v="2"/>
    <s v="no"/>
    <x v="1"/>
    <x v="1"/>
    <n v="122000"/>
    <n v="122000"/>
    <x v="1"/>
    <x v="1"/>
  </r>
  <r>
    <n v="15100"/>
    <x v="354"/>
    <x v="84"/>
    <n v="28"/>
    <n v="1"/>
    <x v="0"/>
    <x v="0"/>
    <x v="1"/>
    <s v="no"/>
    <x v="1"/>
    <x v="2"/>
    <n v="89686"/>
    <n v="89686"/>
    <x v="2"/>
    <x v="0"/>
  </r>
  <r>
    <n v="3225"/>
    <x v="355"/>
    <x v="430"/>
    <n v="50"/>
    <n v="21"/>
    <x v="0"/>
    <x v="0"/>
    <x v="2"/>
    <s v="no"/>
    <x v="1"/>
    <x v="2"/>
    <n v="91170"/>
    <n v="91170"/>
    <x v="2"/>
    <x v="1"/>
  </r>
  <r>
    <n v="10049"/>
    <x v="34"/>
    <x v="431"/>
    <n v="47"/>
    <n v="25"/>
    <x v="0"/>
    <x v="3"/>
    <x v="4"/>
    <s v="yes"/>
    <x v="3"/>
    <x v="1"/>
    <n v="98000"/>
    <n v="98000"/>
    <x v="0"/>
    <x v="1"/>
  </r>
  <r>
    <n v="6247"/>
    <x v="329"/>
    <x v="396"/>
    <n v="59"/>
    <n v="5"/>
    <x v="1"/>
    <x v="0"/>
    <x v="1"/>
    <s v="no"/>
    <x v="0"/>
    <x v="4"/>
    <n v="142279"/>
    <n v="71139.5"/>
    <x v="2"/>
    <x v="1"/>
  </r>
  <r>
    <n v="8370"/>
    <x v="168"/>
    <x v="141"/>
    <n v="36"/>
    <n v="8"/>
    <x v="0"/>
    <x v="1"/>
    <x v="4"/>
    <s v="no"/>
    <x v="4"/>
    <x v="0"/>
    <n v="115000"/>
    <n v="46000"/>
    <x v="0"/>
    <x v="0"/>
  </r>
  <r>
    <n v="9590"/>
    <x v="131"/>
    <x v="432"/>
    <n v="32"/>
    <n v="13"/>
    <x v="0"/>
    <x v="3"/>
    <x v="3"/>
    <s v="no"/>
    <x v="1"/>
    <x v="2"/>
    <n v="85000"/>
    <n v="85000"/>
    <x v="2"/>
    <x v="0"/>
  </r>
  <r>
    <n v="11692"/>
    <x v="243"/>
    <x v="433"/>
    <n v="39"/>
    <n v="14"/>
    <x v="1"/>
    <x v="4"/>
    <x v="3"/>
    <s v="no"/>
    <x v="4"/>
    <x v="3"/>
    <n v="73440"/>
    <n v="29376"/>
    <x v="0"/>
    <x v="0"/>
  </r>
  <r>
    <n v="11163"/>
    <x v="356"/>
    <x v="434"/>
    <n v="44"/>
    <n v="11"/>
    <x v="1"/>
    <x v="3"/>
    <x v="2"/>
    <s v="no"/>
    <x v="2"/>
    <x v="3"/>
    <n v="77197"/>
    <n v="15439.4"/>
    <x v="0"/>
    <x v="0"/>
  </r>
  <r>
    <n v="18386"/>
    <x v="14"/>
    <x v="24"/>
    <n v="57"/>
    <n v="16"/>
    <x v="0"/>
    <x v="3"/>
    <x v="5"/>
    <s v="yes"/>
    <x v="2"/>
    <x v="4"/>
    <n v="130000"/>
    <n v="26000"/>
    <x v="0"/>
    <x v="1"/>
  </r>
  <r>
    <n v="10644"/>
    <x v="322"/>
    <x v="387"/>
    <n v="29"/>
    <n v="1"/>
    <x v="0"/>
    <x v="2"/>
    <x v="0"/>
    <s v="no"/>
    <x v="0"/>
    <x v="2"/>
    <n v="85116"/>
    <n v="42558"/>
    <x v="2"/>
    <x v="0"/>
  </r>
  <r>
    <n v="3327"/>
    <x v="164"/>
    <x v="416"/>
    <n v="53"/>
    <n v="28"/>
    <x v="1"/>
    <x v="0"/>
    <x v="0"/>
    <s v="no"/>
    <x v="1"/>
    <x v="0"/>
    <n v="138000"/>
    <n v="138000"/>
    <x v="2"/>
    <x v="1"/>
  </r>
  <r>
    <n v="5221"/>
    <x v="119"/>
    <x v="435"/>
    <n v="36"/>
    <n v="14"/>
    <x v="0"/>
    <x v="0"/>
    <x v="0"/>
    <s v="no"/>
    <x v="1"/>
    <x v="1"/>
    <n v="112039"/>
    <n v="112039"/>
    <x v="2"/>
    <x v="0"/>
  </r>
  <r>
    <n v="5629"/>
    <x v="209"/>
    <x v="436"/>
    <n v="37"/>
    <n v="2"/>
    <x v="0"/>
    <x v="3"/>
    <x v="3"/>
    <s v="no"/>
    <x v="1"/>
    <x v="2"/>
    <n v="90338"/>
    <n v="90338"/>
    <x v="2"/>
    <x v="0"/>
  </r>
  <r>
    <n v="8264"/>
    <x v="248"/>
    <x v="437"/>
    <n v="21"/>
    <n v="3"/>
    <x v="1"/>
    <x v="1"/>
    <x v="2"/>
    <s v="no"/>
    <x v="1"/>
    <x v="2"/>
    <n v="107000"/>
    <n v="107000"/>
    <x v="1"/>
    <x v="2"/>
  </r>
  <r>
    <n v="13238"/>
    <x v="93"/>
    <x v="438"/>
    <n v="52"/>
    <n v="9"/>
    <x v="1"/>
    <x v="2"/>
    <x v="3"/>
    <s v="no"/>
    <x v="1"/>
    <x v="2"/>
    <n v="94749"/>
    <n v="94749"/>
    <x v="2"/>
    <x v="1"/>
  </r>
  <r>
    <n v="5694"/>
    <x v="3"/>
    <x v="11"/>
    <n v="30"/>
    <n v="5"/>
    <x v="1"/>
    <x v="1"/>
    <x v="2"/>
    <s v="no"/>
    <x v="1"/>
    <x v="1"/>
    <n v="109621"/>
    <n v="109621"/>
    <x v="1"/>
    <x v="0"/>
  </r>
  <r>
    <n v="7697"/>
    <x v="357"/>
    <x v="439"/>
    <n v="49"/>
    <n v="15"/>
    <x v="1"/>
    <x v="2"/>
    <x v="3"/>
    <s v="yes"/>
    <x v="3"/>
    <x v="3"/>
    <n v="73440"/>
    <n v="58752"/>
    <x v="0"/>
    <x v="1"/>
  </r>
  <r>
    <n v="2791"/>
    <x v="358"/>
    <x v="440"/>
    <n v="37"/>
    <n v="2"/>
    <x v="0"/>
    <x v="4"/>
    <x v="1"/>
    <s v="no"/>
    <x v="5"/>
    <x v="0"/>
    <n v="115000"/>
    <n v="69000"/>
    <x v="2"/>
    <x v="0"/>
  </r>
  <r>
    <n v="14281"/>
    <x v="172"/>
    <x v="441"/>
    <n v="62"/>
    <n v="31"/>
    <x v="0"/>
    <x v="3"/>
    <x v="1"/>
    <s v="no"/>
    <x v="1"/>
    <x v="1"/>
    <n v="98000"/>
    <n v="98000"/>
    <x v="2"/>
    <x v="1"/>
  </r>
  <r>
    <n v="14043"/>
    <x v="339"/>
    <x v="84"/>
    <n v="25"/>
    <n v="7"/>
    <x v="0"/>
    <x v="0"/>
    <x v="1"/>
    <s v="no"/>
    <x v="1"/>
    <x v="2"/>
    <n v="85000"/>
    <n v="85000"/>
    <x v="0"/>
    <x v="0"/>
  </r>
  <r>
    <n v="11529"/>
    <x v="359"/>
    <x v="8"/>
    <n v="55"/>
    <n v="14"/>
    <x v="1"/>
    <x v="4"/>
    <x v="2"/>
    <s v="no"/>
    <x v="5"/>
    <x v="3"/>
    <n v="81939"/>
    <n v="49163.4"/>
    <x v="1"/>
    <x v="1"/>
  </r>
  <r>
    <n v="18467"/>
    <x v="337"/>
    <x v="442"/>
    <n v="41"/>
    <n v="22"/>
    <x v="0"/>
    <x v="4"/>
    <x v="3"/>
    <s v="no"/>
    <x v="1"/>
    <x v="1"/>
    <n v="98000"/>
    <n v="98000"/>
    <x v="2"/>
    <x v="0"/>
  </r>
  <r>
    <n v="15954"/>
    <x v="360"/>
    <x v="249"/>
    <n v="58"/>
    <n v="39"/>
    <x v="0"/>
    <x v="4"/>
    <x v="3"/>
    <s v="no"/>
    <x v="1"/>
    <x v="2"/>
    <n v="85000"/>
    <n v="85000"/>
    <x v="2"/>
    <x v="1"/>
  </r>
  <r>
    <n v="14311"/>
    <x v="73"/>
    <x v="122"/>
    <n v="47"/>
    <n v="20"/>
    <x v="1"/>
    <x v="1"/>
    <x v="2"/>
    <s v="no"/>
    <x v="1"/>
    <x v="2"/>
    <n v="107000"/>
    <n v="107000"/>
    <x v="1"/>
    <x v="1"/>
  </r>
  <r>
    <n v="2344"/>
    <x v="182"/>
    <x v="221"/>
    <n v="60"/>
    <n v="13"/>
    <x v="0"/>
    <x v="2"/>
    <x v="1"/>
    <s v="no"/>
    <x v="0"/>
    <x v="0"/>
    <n v="119751"/>
    <n v="59875.5"/>
    <x v="1"/>
    <x v="1"/>
  </r>
  <r>
    <n v="2727"/>
    <x v="361"/>
    <x v="443"/>
    <n v="38"/>
    <n v="6"/>
    <x v="1"/>
    <x v="3"/>
    <x v="1"/>
    <s v="no"/>
    <x v="1"/>
    <x v="1"/>
    <n v="122000"/>
    <n v="122000"/>
    <x v="1"/>
    <x v="0"/>
  </r>
  <r>
    <n v="7464"/>
    <x v="225"/>
    <x v="404"/>
    <n v="37"/>
    <n v="12"/>
    <x v="1"/>
    <x v="1"/>
    <x v="2"/>
    <s v="no"/>
    <x v="1"/>
    <x v="2"/>
    <n v="104423"/>
    <n v="104423"/>
    <x v="1"/>
    <x v="0"/>
  </r>
  <r>
    <n v="14454"/>
    <x v="362"/>
    <x v="426"/>
    <n v="50"/>
    <n v="15"/>
    <x v="1"/>
    <x v="2"/>
    <x v="1"/>
    <s v="no"/>
    <x v="4"/>
    <x v="2"/>
    <n v="91800"/>
    <n v="36720"/>
    <x v="0"/>
    <x v="1"/>
  </r>
  <r>
    <n v="13449"/>
    <x v="363"/>
    <x v="444"/>
    <n v="33"/>
    <n v="8"/>
    <x v="1"/>
    <x v="4"/>
    <x v="1"/>
    <s v="no"/>
    <x v="0"/>
    <x v="0"/>
    <n v="124200"/>
    <n v="62100"/>
    <x v="2"/>
    <x v="0"/>
  </r>
  <r>
    <n v="19826"/>
    <x v="364"/>
    <x v="445"/>
    <n v="58"/>
    <n v="27"/>
    <x v="1"/>
    <x v="4"/>
    <x v="2"/>
    <s v="yes"/>
    <x v="5"/>
    <x v="3"/>
    <n v="76113"/>
    <n v="45667.8"/>
    <x v="2"/>
    <x v="1"/>
  </r>
  <r>
    <n v="1327"/>
    <x v="79"/>
    <x v="344"/>
    <n v="42"/>
    <n v="15"/>
    <x v="0"/>
    <x v="3"/>
    <x v="3"/>
    <s v="no"/>
    <x v="1"/>
    <x v="2"/>
    <n v="92409"/>
    <n v="92409"/>
    <x v="2"/>
    <x v="0"/>
  </r>
  <r>
    <n v="19551"/>
    <x v="31"/>
    <x v="446"/>
    <n v="41"/>
    <n v="3"/>
    <x v="1"/>
    <x v="4"/>
    <x v="3"/>
    <s v="no"/>
    <x v="1"/>
    <x v="1"/>
    <n v="111832"/>
    <n v="111832"/>
    <x v="2"/>
    <x v="0"/>
  </r>
  <r>
    <n v="13151"/>
    <x v="365"/>
    <x v="447"/>
    <n v="64"/>
    <n v="32"/>
    <x v="1"/>
    <x v="2"/>
    <x v="3"/>
    <s v="no"/>
    <x v="0"/>
    <x v="3"/>
    <n v="73440"/>
    <n v="36720"/>
    <x v="0"/>
    <x v="1"/>
  </r>
  <r>
    <n v="1994"/>
    <x v="18"/>
    <x v="173"/>
    <n v="20"/>
    <n v="2"/>
    <x v="0"/>
    <x v="0"/>
    <x v="1"/>
    <s v="no"/>
    <x v="0"/>
    <x v="1"/>
    <n v="108538"/>
    <n v="54269"/>
    <x v="2"/>
    <x v="2"/>
  </r>
  <r>
    <n v="19550"/>
    <x v="146"/>
    <x v="84"/>
    <n v="36"/>
    <n v="9"/>
    <x v="1"/>
    <x v="1"/>
    <x v="0"/>
    <s v="no"/>
    <x v="0"/>
    <x v="1"/>
    <n v="110458"/>
    <n v="55229"/>
    <x v="1"/>
    <x v="0"/>
  </r>
  <r>
    <n v="16316"/>
    <x v="31"/>
    <x v="54"/>
    <n v="44"/>
    <n v="11"/>
    <x v="1"/>
    <x v="2"/>
    <x v="2"/>
    <s v="no"/>
    <x v="1"/>
    <x v="1"/>
    <n v="122000"/>
    <n v="122000"/>
    <x v="1"/>
    <x v="0"/>
  </r>
  <r>
    <n v="880"/>
    <x v="167"/>
    <x v="448"/>
    <n v="46"/>
    <n v="12"/>
    <x v="1"/>
    <x v="4"/>
    <x v="1"/>
    <s v="no"/>
    <x v="3"/>
    <x v="0"/>
    <n v="124200"/>
    <n v="99360"/>
    <x v="0"/>
    <x v="1"/>
  </r>
  <r>
    <n v="12213"/>
    <x v="32"/>
    <x v="216"/>
    <n v="22"/>
    <n v="1"/>
    <x v="1"/>
    <x v="1"/>
    <x v="1"/>
    <s v="no"/>
    <x v="4"/>
    <x v="4"/>
    <n v="141809"/>
    <n v="56723.6"/>
    <x v="0"/>
    <x v="2"/>
  </r>
  <r>
    <n v="18330"/>
    <x v="308"/>
    <x v="4"/>
    <n v="40"/>
    <n v="3"/>
    <x v="0"/>
    <x v="0"/>
    <x v="0"/>
    <s v="no"/>
    <x v="0"/>
    <x v="0"/>
    <n v="124027"/>
    <n v="62013.5"/>
    <x v="1"/>
    <x v="0"/>
  </r>
  <r>
    <n v="10471"/>
    <x v="135"/>
    <x v="449"/>
    <n v="55"/>
    <n v="13"/>
    <x v="0"/>
    <x v="0"/>
    <x v="3"/>
    <s v="no"/>
    <x v="1"/>
    <x v="2"/>
    <n v="87571"/>
    <n v="87571"/>
    <x v="2"/>
    <x v="1"/>
  </r>
  <r>
    <n v="13466"/>
    <x v="24"/>
    <x v="296"/>
    <n v="45"/>
    <n v="6"/>
    <x v="0"/>
    <x v="4"/>
    <x v="1"/>
    <s v="no"/>
    <x v="0"/>
    <x v="0"/>
    <n v="115000"/>
    <n v="57500"/>
    <x v="0"/>
    <x v="1"/>
  </r>
  <r>
    <n v="14417"/>
    <x v="126"/>
    <x v="450"/>
    <n v="33"/>
    <n v="7"/>
    <x v="1"/>
    <x v="4"/>
    <x v="3"/>
    <s v="no"/>
    <x v="0"/>
    <x v="2"/>
    <n v="91800"/>
    <n v="45900"/>
    <x v="0"/>
    <x v="0"/>
  </r>
  <r>
    <n v="18323"/>
    <x v="366"/>
    <x v="451"/>
    <n v="40"/>
    <n v="2"/>
    <x v="1"/>
    <x v="1"/>
    <x v="1"/>
    <s v="no"/>
    <x v="1"/>
    <x v="1"/>
    <n v="110550"/>
    <n v="110550"/>
    <x v="1"/>
    <x v="0"/>
  </r>
  <r>
    <n v="18582"/>
    <x v="55"/>
    <x v="164"/>
    <n v="47"/>
    <n v="17"/>
    <x v="0"/>
    <x v="3"/>
    <x v="0"/>
    <s v="yes"/>
    <x v="0"/>
    <x v="1"/>
    <n v="98000"/>
    <n v="49000"/>
    <x v="0"/>
    <x v="1"/>
  </r>
  <r>
    <n v="20454"/>
    <x v="67"/>
    <x v="452"/>
    <n v="26"/>
    <n v="4"/>
    <x v="1"/>
    <x v="0"/>
    <x v="2"/>
    <s v="no"/>
    <x v="1"/>
    <x v="3"/>
    <n v="87000"/>
    <n v="87000"/>
    <x v="2"/>
    <x v="0"/>
  </r>
  <r>
    <n v="7913"/>
    <x v="70"/>
    <x v="24"/>
    <n v="29"/>
    <n v="2"/>
    <x v="1"/>
    <x v="2"/>
    <x v="2"/>
    <s v="no"/>
    <x v="0"/>
    <x v="1"/>
    <n v="105840"/>
    <n v="52920"/>
    <x v="2"/>
    <x v="0"/>
  </r>
  <r>
    <n v="16685"/>
    <x v="54"/>
    <x v="453"/>
    <n v="42"/>
    <n v="14"/>
    <x v="1"/>
    <x v="2"/>
    <x v="1"/>
    <s v="no"/>
    <x v="1"/>
    <x v="1"/>
    <n v="119940"/>
    <n v="119940"/>
    <x v="2"/>
    <x v="0"/>
  </r>
  <r>
    <n v="7877"/>
    <x v="135"/>
    <x v="425"/>
    <n v="31"/>
    <n v="10"/>
    <x v="0"/>
    <x v="0"/>
    <x v="4"/>
    <s v="no"/>
    <x v="1"/>
    <x v="1"/>
    <n v="98000"/>
    <n v="98000"/>
    <x v="0"/>
    <x v="0"/>
  </r>
  <r>
    <n v="9630"/>
    <x v="367"/>
    <x v="30"/>
    <n v="30"/>
    <n v="2"/>
    <x v="0"/>
    <x v="4"/>
    <x v="0"/>
    <s v="no"/>
    <x v="5"/>
    <x v="1"/>
    <n v="98000"/>
    <n v="58800"/>
    <x v="0"/>
    <x v="0"/>
  </r>
  <r>
    <n v="14968"/>
    <x v="249"/>
    <x v="135"/>
    <n v="46"/>
    <n v="18"/>
    <x v="0"/>
    <x v="3"/>
    <x v="3"/>
    <s v="no"/>
    <x v="4"/>
    <x v="1"/>
    <n v="98000"/>
    <n v="39200"/>
    <x v="0"/>
    <x v="1"/>
  </r>
  <r>
    <n v="1638"/>
    <x v="91"/>
    <x v="112"/>
    <n v="57"/>
    <n v="29"/>
    <x v="0"/>
    <x v="0"/>
    <x v="1"/>
    <s v="no"/>
    <x v="1"/>
    <x v="4"/>
    <n v="130000"/>
    <n v="130000"/>
    <x v="0"/>
    <x v="1"/>
  </r>
  <r>
    <n v="13429"/>
    <x v="57"/>
    <x v="266"/>
    <n v="49"/>
    <n v="21"/>
    <x v="1"/>
    <x v="3"/>
    <x v="1"/>
    <s v="no"/>
    <x v="1"/>
    <x v="2"/>
    <n v="92574"/>
    <n v="92574"/>
    <x v="2"/>
    <x v="1"/>
  </r>
  <r>
    <n v="11701"/>
    <x v="78"/>
    <x v="309"/>
    <n v="24"/>
    <n v="6"/>
    <x v="1"/>
    <x v="2"/>
    <x v="3"/>
    <s v="no"/>
    <x v="3"/>
    <x v="1"/>
    <n v="105840"/>
    <n v="84672"/>
    <x v="0"/>
    <x v="2"/>
  </r>
  <r>
    <n v="22604"/>
    <x v="368"/>
    <x v="454"/>
    <n v="48"/>
    <n v="14"/>
    <x v="1"/>
    <x v="1"/>
    <x v="6"/>
    <s v="yes"/>
    <x v="0"/>
    <x v="2"/>
    <n v="91800"/>
    <n v="45900"/>
    <x v="0"/>
    <x v="1"/>
  </r>
  <r>
    <n v="13935"/>
    <x v="369"/>
    <x v="385"/>
    <n v="46"/>
    <n v="16"/>
    <x v="1"/>
    <x v="1"/>
    <x v="2"/>
    <s v="no"/>
    <x v="1"/>
    <x v="2"/>
    <n v="107000"/>
    <n v="107000"/>
    <x v="2"/>
    <x v="1"/>
  </r>
  <r>
    <n v="6095"/>
    <x v="241"/>
    <x v="148"/>
    <n v="37"/>
    <n v="6"/>
    <x v="0"/>
    <x v="3"/>
    <x v="3"/>
    <s v="no"/>
    <x v="1"/>
    <x v="2"/>
    <n v="94079"/>
    <n v="94079"/>
    <x v="1"/>
    <x v="0"/>
  </r>
  <r>
    <n v="16002"/>
    <x v="61"/>
    <x v="450"/>
    <n v="46"/>
    <n v="2"/>
    <x v="1"/>
    <x v="4"/>
    <x v="0"/>
    <s v="yes"/>
    <x v="4"/>
    <x v="0"/>
    <n v="126404"/>
    <n v="50561.599999999999"/>
    <x v="2"/>
    <x v="1"/>
  </r>
  <r>
    <n v="4869"/>
    <x v="290"/>
    <x v="0"/>
    <n v="57"/>
    <n v="29"/>
    <x v="0"/>
    <x v="0"/>
    <x v="1"/>
    <s v="yes"/>
    <x v="0"/>
    <x v="2"/>
    <n v="91934"/>
    <n v="45967"/>
    <x v="0"/>
    <x v="1"/>
  </r>
  <r>
    <n v="21077"/>
    <x v="355"/>
    <x v="7"/>
    <n v="31"/>
    <n v="8"/>
    <x v="0"/>
    <x v="4"/>
    <x v="3"/>
    <s v="no"/>
    <x v="5"/>
    <x v="3"/>
    <n v="68000"/>
    <n v="40800"/>
    <x v="0"/>
    <x v="0"/>
  </r>
  <r>
    <n v="1570"/>
    <x v="286"/>
    <x v="455"/>
    <n v="25"/>
    <n v="1"/>
    <x v="1"/>
    <x v="2"/>
    <x v="3"/>
    <s v="no"/>
    <x v="1"/>
    <x v="2"/>
    <n v="107000"/>
    <n v="107000"/>
    <x v="1"/>
    <x v="0"/>
  </r>
  <r>
    <n v="13598"/>
    <x v="370"/>
    <x v="456"/>
    <n v="46"/>
    <n v="19"/>
    <x v="0"/>
    <x v="4"/>
    <x v="5"/>
    <s v="yes"/>
    <x v="5"/>
    <x v="0"/>
    <n v="115000"/>
    <n v="69000"/>
    <x v="0"/>
    <x v="1"/>
  </r>
  <r>
    <n v="20082"/>
    <x v="371"/>
    <x v="112"/>
    <n v="33"/>
    <n v="5"/>
    <x v="0"/>
    <x v="3"/>
    <x v="1"/>
    <s v="no"/>
    <x v="5"/>
    <x v="1"/>
    <n v="98000"/>
    <n v="58800"/>
    <x v="2"/>
    <x v="0"/>
  </r>
  <r>
    <n v="19180"/>
    <x v="156"/>
    <x v="457"/>
    <n v="29"/>
    <n v="11"/>
    <x v="1"/>
    <x v="1"/>
    <x v="2"/>
    <s v="no"/>
    <x v="3"/>
    <x v="2"/>
    <n v="95550"/>
    <n v="76440"/>
    <x v="2"/>
    <x v="0"/>
  </r>
  <r>
    <n v="22412"/>
    <x v="38"/>
    <x v="112"/>
    <n v="28"/>
    <n v="0"/>
    <x v="1"/>
    <x v="4"/>
    <x v="2"/>
    <s v="no"/>
    <x v="1"/>
    <x v="2"/>
    <n v="107000"/>
    <n v="107000"/>
    <x v="1"/>
    <x v="0"/>
  </r>
  <r>
    <n v="1575"/>
    <x v="28"/>
    <x v="250"/>
    <n v="37"/>
    <n v="6"/>
    <x v="0"/>
    <x v="4"/>
    <x v="3"/>
    <s v="no"/>
    <x v="0"/>
    <x v="0"/>
    <n v="115000"/>
    <n v="57500"/>
    <x v="0"/>
    <x v="0"/>
  </r>
  <r>
    <n v="3437"/>
    <x v="200"/>
    <x v="458"/>
    <n v="44"/>
    <n v="25"/>
    <x v="0"/>
    <x v="3"/>
    <x v="1"/>
    <s v="no"/>
    <x v="0"/>
    <x v="2"/>
    <n v="85000"/>
    <n v="53125"/>
    <x v="0"/>
    <x v="0"/>
  </r>
  <r>
    <n v="16261"/>
    <x v="53"/>
    <x v="88"/>
    <n v="43"/>
    <n v="2"/>
    <x v="0"/>
    <x v="2"/>
    <x v="0"/>
    <s v="no"/>
    <x v="0"/>
    <x v="2"/>
    <n v="92582"/>
    <n v="46291"/>
    <x v="2"/>
    <x v="0"/>
  </r>
  <r>
    <n v="1499"/>
    <x v="288"/>
    <x v="331"/>
    <n v="26"/>
    <n v="5"/>
    <x v="1"/>
    <x v="3"/>
    <x v="0"/>
    <s v="no"/>
    <x v="0"/>
    <x v="1"/>
    <n v="120802"/>
    <n v="60401"/>
    <x v="1"/>
    <x v="0"/>
  </r>
  <r>
    <n v="21748"/>
    <x v="126"/>
    <x v="459"/>
    <n v="59"/>
    <n v="6"/>
    <x v="1"/>
    <x v="1"/>
    <x v="2"/>
    <s v="no"/>
    <x v="1"/>
    <x v="2"/>
    <n v="102126"/>
    <n v="102126"/>
    <x v="1"/>
    <x v="1"/>
  </r>
  <r>
    <n v="14731"/>
    <x v="259"/>
    <x v="328"/>
    <n v="33"/>
    <n v="9"/>
    <x v="0"/>
    <x v="3"/>
    <x v="1"/>
    <s v="no"/>
    <x v="1"/>
    <x v="2"/>
    <n v="91678"/>
    <n v="91678"/>
    <x v="1"/>
    <x v="0"/>
  </r>
  <r>
    <n v="5133"/>
    <x v="160"/>
    <x v="26"/>
    <n v="58"/>
    <n v="12"/>
    <x v="1"/>
    <x v="3"/>
    <x v="2"/>
    <s v="yes"/>
    <x v="0"/>
    <x v="3"/>
    <n v="75011"/>
    <n v="37505.5"/>
    <x v="2"/>
    <x v="1"/>
  </r>
  <r>
    <n v="15815"/>
    <x v="113"/>
    <x v="460"/>
    <n v="39"/>
    <n v="16"/>
    <x v="0"/>
    <x v="4"/>
    <x v="1"/>
    <s v="no"/>
    <x v="0"/>
    <x v="4"/>
    <n v="130000"/>
    <n v="65000"/>
    <x v="0"/>
    <x v="0"/>
  </r>
  <r>
    <n v="6641"/>
    <x v="18"/>
    <x v="443"/>
    <n v="59"/>
    <n v="14"/>
    <x v="0"/>
    <x v="2"/>
    <x v="2"/>
    <s v="no"/>
    <x v="3"/>
    <x v="3"/>
    <n v="73356"/>
    <n v="58684.800000000003"/>
    <x v="0"/>
    <x v="1"/>
  </r>
  <r>
    <n v="2334"/>
    <x v="173"/>
    <x v="180"/>
    <n v="49"/>
    <n v="8"/>
    <x v="1"/>
    <x v="1"/>
    <x v="2"/>
    <s v="no"/>
    <x v="3"/>
    <x v="3"/>
    <n v="73440"/>
    <n v="58752"/>
    <x v="0"/>
    <x v="1"/>
  </r>
  <r>
    <n v="9211"/>
    <x v="70"/>
    <x v="126"/>
    <n v="65"/>
    <n v="37"/>
    <x v="1"/>
    <x v="1"/>
    <x v="1"/>
    <s v="yes"/>
    <x v="3"/>
    <x v="0"/>
    <n v="124200"/>
    <n v="99360"/>
    <x v="0"/>
    <x v="1"/>
  </r>
  <r>
    <n v="13109"/>
    <x v="370"/>
    <x v="461"/>
    <n v="25"/>
    <n v="2"/>
    <x v="0"/>
    <x v="0"/>
    <x v="3"/>
    <s v="no"/>
    <x v="1"/>
    <x v="0"/>
    <n v="124270"/>
    <n v="124270"/>
    <x v="2"/>
    <x v="0"/>
  </r>
  <r>
    <n v="11413"/>
    <x v="122"/>
    <x v="462"/>
    <n v="48"/>
    <n v="11"/>
    <x v="0"/>
    <x v="3"/>
    <x v="3"/>
    <s v="no"/>
    <x v="1"/>
    <x v="1"/>
    <n v="98000"/>
    <n v="98000"/>
    <x v="1"/>
    <x v="1"/>
  </r>
  <r>
    <n v="7622"/>
    <x v="214"/>
    <x v="463"/>
    <n v="40"/>
    <n v="5"/>
    <x v="1"/>
    <x v="2"/>
    <x v="2"/>
    <s v="no"/>
    <x v="0"/>
    <x v="3"/>
    <n v="80502"/>
    <n v="40251"/>
    <x v="1"/>
    <x v="0"/>
  </r>
  <r>
    <n v="15586"/>
    <x v="225"/>
    <x v="464"/>
    <n v="44"/>
    <n v="9"/>
    <x v="1"/>
    <x v="1"/>
    <x v="2"/>
    <s v="no"/>
    <x v="1"/>
    <x v="1"/>
    <n v="108283"/>
    <n v="108283"/>
    <x v="2"/>
    <x v="0"/>
  </r>
  <r>
    <n v="11397"/>
    <x v="143"/>
    <x v="450"/>
    <n v="49"/>
    <n v="15"/>
    <x v="1"/>
    <x v="1"/>
    <x v="1"/>
    <s v="no"/>
    <x v="1"/>
    <x v="2"/>
    <n v="105403"/>
    <n v="105403"/>
    <x v="1"/>
    <x v="1"/>
  </r>
  <r>
    <n v="11746"/>
    <x v="241"/>
    <x v="465"/>
    <n v="43"/>
    <n v="17"/>
    <x v="0"/>
    <x v="1"/>
    <x v="3"/>
    <s v="no"/>
    <x v="1"/>
    <x v="2"/>
    <n v="89078"/>
    <n v="89078"/>
    <x v="2"/>
    <x v="0"/>
  </r>
  <r>
    <n v="9804"/>
    <x v="16"/>
    <x v="466"/>
    <n v="62"/>
    <n v="20"/>
    <x v="1"/>
    <x v="0"/>
    <x v="3"/>
    <s v="yes"/>
    <x v="1"/>
    <x v="0"/>
    <n v="131526"/>
    <n v="131526"/>
    <x v="1"/>
    <x v="1"/>
  </r>
  <r>
    <n v="14500"/>
    <x v="102"/>
    <x v="296"/>
    <n v="47"/>
    <n v="25"/>
    <x v="0"/>
    <x v="4"/>
    <x v="0"/>
    <s v="yes"/>
    <x v="0"/>
    <x v="4"/>
    <n v="130000"/>
    <n v="81250"/>
    <x v="0"/>
    <x v="1"/>
  </r>
  <r>
    <n v="8953"/>
    <x v="81"/>
    <x v="112"/>
    <n v="40"/>
    <n v="10"/>
    <x v="0"/>
    <x v="4"/>
    <x v="3"/>
    <s v="no"/>
    <x v="0"/>
    <x v="3"/>
    <n v="68000"/>
    <n v="34000"/>
    <x v="0"/>
    <x v="0"/>
  </r>
  <r>
    <n v="3370"/>
    <x v="372"/>
    <x v="366"/>
    <n v="42"/>
    <n v="8"/>
    <x v="0"/>
    <x v="2"/>
    <x v="3"/>
    <s v="no"/>
    <x v="1"/>
    <x v="1"/>
    <n v="99528"/>
    <n v="99528"/>
    <x v="2"/>
    <x v="0"/>
  </r>
  <r>
    <n v="16098"/>
    <x v="373"/>
    <x v="173"/>
    <n v="49"/>
    <n v="31"/>
    <x v="0"/>
    <x v="3"/>
    <x v="2"/>
    <s v="no"/>
    <x v="0"/>
    <x v="2"/>
    <n v="85000"/>
    <n v="42500"/>
    <x v="0"/>
    <x v="1"/>
  </r>
  <r>
    <n v="1322"/>
    <x v="46"/>
    <x v="467"/>
    <n v="52"/>
    <n v="6"/>
    <x v="0"/>
    <x v="3"/>
    <x v="1"/>
    <s v="no"/>
    <x v="1"/>
    <x v="2"/>
    <n v="86515"/>
    <n v="86515"/>
    <x v="1"/>
    <x v="1"/>
  </r>
  <r>
    <n v="18362"/>
    <x v="185"/>
    <x v="213"/>
    <n v="28"/>
    <n v="2"/>
    <x v="1"/>
    <x v="4"/>
    <x v="2"/>
    <s v="no"/>
    <x v="1"/>
    <x v="2"/>
    <n v="105939"/>
    <n v="105939"/>
    <x v="1"/>
    <x v="0"/>
  </r>
  <r>
    <n v="2393"/>
    <x v="146"/>
    <x v="468"/>
    <n v="39"/>
    <n v="0"/>
    <x v="1"/>
    <x v="1"/>
    <x v="3"/>
    <s v="no"/>
    <x v="1"/>
    <x v="2"/>
    <n v="107000"/>
    <n v="107000"/>
    <x v="1"/>
    <x v="0"/>
  </r>
  <r>
    <n v="12154"/>
    <x v="374"/>
    <x v="469"/>
    <n v="44"/>
    <n v="23"/>
    <x v="1"/>
    <x v="1"/>
    <x v="1"/>
    <s v="no"/>
    <x v="0"/>
    <x v="4"/>
    <n v="140400"/>
    <n v="70200"/>
    <x v="2"/>
    <x v="0"/>
  </r>
  <r>
    <n v="8034"/>
    <x v="18"/>
    <x v="1"/>
    <n v="57"/>
    <n v="36"/>
    <x v="0"/>
    <x v="2"/>
    <x v="2"/>
    <s v="no"/>
    <x v="1"/>
    <x v="1"/>
    <n v="98000"/>
    <n v="98000"/>
    <x v="2"/>
    <x v="1"/>
  </r>
  <r>
    <n v="21990"/>
    <x v="375"/>
    <x v="470"/>
    <n v="49"/>
    <n v="30"/>
    <x v="1"/>
    <x v="3"/>
    <x v="3"/>
    <s v="no"/>
    <x v="4"/>
    <x v="3"/>
    <n v="73440"/>
    <n v="29376"/>
    <x v="0"/>
    <x v="1"/>
  </r>
  <r>
    <n v="2935"/>
    <x v="376"/>
    <x v="128"/>
    <n v="41"/>
    <n v="21"/>
    <x v="0"/>
    <x v="3"/>
    <x v="2"/>
    <s v="no"/>
    <x v="1"/>
    <x v="2"/>
    <n v="85000"/>
    <n v="85000"/>
    <x v="2"/>
    <x v="0"/>
  </r>
  <r>
    <n v="4869"/>
    <x v="290"/>
    <x v="0"/>
    <n v="57"/>
    <n v="29"/>
    <x v="0"/>
    <x v="0"/>
    <x v="0"/>
    <s v="yes"/>
    <x v="0"/>
    <x v="2"/>
    <n v="91934"/>
    <n v="45967"/>
    <x v="0"/>
    <x v="1"/>
  </r>
  <r>
    <n v="22043"/>
    <x v="37"/>
    <x v="127"/>
    <n v="36"/>
    <n v="1"/>
    <x v="1"/>
    <x v="2"/>
    <x v="1"/>
    <s v="yes"/>
    <x v="3"/>
    <x v="1"/>
    <n v="115016"/>
    <n v="92012.800000000003"/>
    <x v="1"/>
    <x v="0"/>
  </r>
  <r>
    <n v="2006"/>
    <x v="377"/>
    <x v="471"/>
    <n v="48"/>
    <n v="3"/>
    <x v="1"/>
    <x v="0"/>
    <x v="1"/>
    <s v="no"/>
    <x v="1"/>
    <x v="1"/>
    <n v="120233"/>
    <n v="120233"/>
    <x v="0"/>
    <x v="1"/>
  </r>
  <r>
    <n v="1703"/>
    <x v="104"/>
    <x v="472"/>
    <n v="40"/>
    <n v="9"/>
    <x v="1"/>
    <x v="0"/>
    <x v="2"/>
    <s v="no"/>
    <x v="1"/>
    <x v="3"/>
    <n v="87000"/>
    <n v="87000"/>
    <x v="2"/>
    <x v="0"/>
  </r>
  <r>
    <n v="8789"/>
    <x v="378"/>
    <x v="434"/>
    <n v="44"/>
    <n v="8"/>
    <x v="1"/>
    <x v="1"/>
    <x v="6"/>
    <s v="no"/>
    <x v="0"/>
    <x v="4"/>
    <n v="140400"/>
    <n v="70200"/>
    <x v="2"/>
    <x v="0"/>
  </r>
  <r>
    <n v="7219"/>
    <x v="379"/>
    <x v="473"/>
    <n v="45"/>
    <n v="11"/>
    <x v="1"/>
    <x v="0"/>
    <x v="2"/>
    <s v="yes"/>
    <x v="1"/>
    <x v="3"/>
    <n v="83984"/>
    <n v="83984"/>
    <x v="2"/>
    <x v="1"/>
  </r>
  <r>
    <n v="1354"/>
    <x v="62"/>
    <x v="368"/>
    <n v="25"/>
    <n v="4"/>
    <x v="0"/>
    <x v="3"/>
    <x v="2"/>
    <s v="no"/>
    <x v="0"/>
    <x v="2"/>
    <n v="85000"/>
    <n v="42500"/>
    <x v="2"/>
    <x v="0"/>
  </r>
  <r>
    <n v="21046"/>
    <x v="167"/>
    <x v="474"/>
    <n v="45"/>
    <n v="14"/>
    <x v="1"/>
    <x v="2"/>
    <x v="3"/>
    <s v="no"/>
    <x v="1"/>
    <x v="1"/>
    <n v="122000"/>
    <n v="122000"/>
    <x v="1"/>
    <x v="1"/>
  </r>
  <r>
    <n v="5680"/>
    <x v="78"/>
    <x v="400"/>
    <n v="38"/>
    <n v="7"/>
    <x v="1"/>
    <x v="0"/>
    <x v="1"/>
    <s v="no"/>
    <x v="1"/>
    <x v="2"/>
    <n v="94590"/>
    <n v="94590"/>
    <x v="2"/>
    <x v="0"/>
  </r>
  <r>
    <n v="8503"/>
    <x v="19"/>
    <x v="475"/>
    <n v="63"/>
    <n v="13"/>
    <x v="1"/>
    <x v="1"/>
    <x v="5"/>
    <s v="yes"/>
    <x v="3"/>
    <x v="4"/>
    <n v="140400"/>
    <n v="112320"/>
    <x v="2"/>
    <x v="1"/>
  </r>
  <r>
    <n v="4823"/>
    <x v="380"/>
    <x v="476"/>
    <n v="55"/>
    <n v="26"/>
    <x v="0"/>
    <x v="3"/>
    <x v="1"/>
    <s v="yes"/>
    <x v="2"/>
    <x v="0"/>
    <n v="115000"/>
    <n v="23000"/>
    <x v="0"/>
    <x v="1"/>
  </r>
  <r>
    <n v="16204"/>
    <x v="377"/>
    <x v="477"/>
    <n v="25"/>
    <n v="1"/>
    <x v="1"/>
    <x v="4"/>
    <x v="3"/>
    <s v="no"/>
    <x v="1"/>
    <x v="2"/>
    <n v="106713"/>
    <n v="106713"/>
    <x v="1"/>
    <x v="0"/>
  </r>
  <r>
    <n v="22623"/>
    <x v="170"/>
    <x v="421"/>
    <n v="28"/>
    <n v="3"/>
    <x v="0"/>
    <x v="2"/>
    <x v="1"/>
    <s v="no"/>
    <x v="0"/>
    <x v="2"/>
    <n v="85000"/>
    <n v="42500"/>
    <x v="0"/>
    <x v="0"/>
  </r>
  <r>
    <n v="4435"/>
    <x v="35"/>
    <x v="13"/>
    <n v="48"/>
    <n v="10"/>
    <x v="1"/>
    <x v="1"/>
    <x v="1"/>
    <s v="no"/>
    <x v="1"/>
    <x v="1"/>
    <n v="109464"/>
    <n v="109464"/>
    <x v="1"/>
    <x v="1"/>
  </r>
  <r>
    <n v="19167"/>
    <x v="55"/>
    <x v="132"/>
    <n v="51"/>
    <n v="32"/>
    <x v="0"/>
    <x v="4"/>
    <x v="5"/>
    <s v="yes"/>
    <x v="5"/>
    <x v="4"/>
    <n v="130000"/>
    <n v="78000"/>
    <x v="1"/>
    <x v="1"/>
  </r>
  <r>
    <n v="7829"/>
    <x v="18"/>
    <x v="478"/>
    <n v="52"/>
    <n v="29"/>
    <x v="0"/>
    <x v="1"/>
    <x v="1"/>
    <s v="yes"/>
    <x v="0"/>
    <x v="1"/>
    <n v="98000"/>
    <n v="49000"/>
    <x v="2"/>
    <x v="1"/>
  </r>
  <r>
    <n v="15925"/>
    <x v="381"/>
    <x v="33"/>
    <n v="44"/>
    <n v="15"/>
    <x v="0"/>
    <x v="4"/>
    <x v="0"/>
    <s v="yes"/>
    <x v="3"/>
    <x v="1"/>
    <n v="98000"/>
    <n v="78400"/>
    <x v="0"/>
    <x v="0"/>
  </r>
  <r>
    <n v="9083"/>
    <x v="354"/>
    <x v="312"/>
    <n v="57"/>
    <n v="35"/>
    <x v="0"/>
    <x v="2"/>
    <x v="6"/>
    <s v="yes"/>
    <x v="2"/>
    <x v="1"/>
    <n v="98000"/>
    <n v="19600"/>
    <x v="2"/>
    <x v="1"/>
  </r>
  <r>
    <n v="12774"/>
    <x v="304"/>
    <x v="479"/>
    <n v="39"/>
    <n v="21"/>
    <x v="0"/>
    <x v="4"/>
    <x v="3"/>
    <s v="no"/>
    <x v="1"/>
    <x v="0"/>
    <n v="123924"/>
    <n v="123924"/>
    <x v="2"/>
    <x v="0"/>
  </r>
  <r>
    <n v="6185"/>
    <x v="382"/>
    <x v="480"/>
    <n v="61"/>
    <n v="42"/>
    <x v="1"/>
    <x v="4"/>
    <x v="2"/>
    <s v="no"/>
    <x v="5"/>
    <x v="3"/>
    <n v="74977"/>
    <n v="44986.2"/>
    <x v="2"/>
    <x v="1"/>
  </r>
  <r>
    <n v="20540"/>
    <x v="106"/>
    <x v="374"/>
    <n v="56"/>
    <n v="11"/>
    <x v="1"/>
    <x v="2"/>
    <x v="3"/>
    <s v="yes"/>
    <x v="3"/>
    <x v="3"/>
    <n v="73440"/>
    <n v="58752"/>
    <x v="2"/>
    <x v="1"/>
  </r>
  <r>
    <n v="20585"/>
    <x v="14"/>
    <x v="481"/>
    <n v="46"/>
    <n v="5"/>
    <x v="0"/>
    <x v="1"/>
    <x v="2"/>
    <s v="no"/>
    <x v="0"/>
    <x v="1"/>
    <n v="98000"/>
    <n v="49000"/>
    <x v="0"/>
    <x v="1"/>
  </r>
  <r>
    <n v="6053"/>
    <x v="35"/>
    <x v="370"/>
    <n v="40"/>
    <n v="17"/>
    <x v="1"/>
    <x v="0"/>
    <x v="4"/>
    <s v="no"/>
    <x v="1"/>
    <x v="0"/>
    <n v="133188"/>
    <n v="133188"/>
    <x v="2"/>
    <x v="0"/>
  </r>
  <r>
    <n v="10879"/>
    <x v="29"/>
    <x v="482"/>
    <n v="37"/>
    <n v="6"/>
    <x v="1"/>
    <x v="2"/>
    <x v="2"/>
    <s v="no"/>
    <x v="3"/>
    <x v="3"/>
    <n v="77852"/>
    <n v="62281.599999999999"/>
    <x v="2"/>
    <x v="0"/>
  </r>
  <r>
    <n v="19649"/>
    <x v="263"/>
    <x v="483"/>
    <n v="37"/>
    <n v="0"/>
    <x v="1"/>
    <x v="1"/>
    <x v="0"/>
    <s v="yes"/>
    <x v="0"/>
    <x v="4"/>
    <n v="140400"/>
    <n v="70200"/>
    <x v="0"/>
    <x v="0"/>
  </r>
  <r>
    <n v="13761"/>
    <x v="146"/>
    <x v="169"/>
    <n v="53"/>
    <n v="29"/>
    <x v="1"/>
    <x v="0"/>
    <x v="1"/>
    <s v="no"/>
    <x v="0"/>
    <x v="0"/>
    <n v="138000"/>
    <n v="69000"/>
    <x v="2"/>
    <x v="1"/>
  </r>
  <r>
    <n v="1528"/>
    <x v="18"/>
    <x v="484"/>
    <n v="58"/>
    <n v="13"/>
    <x v="0"/>
    <x v="0"/>
    <x v="4"/>
    <s v="yes"/>
    <x v="1"/>
    <x v="0"/>
    <n v="119706"/>
    <n v="119706"/>
    <x v="0"/>
    <x v="1"/>
  </r>
  <r>
    <n v="10909"/>
    <x v="383"/>
    <x v="291"/>
    <n v="28"/>
    <n v="5"/>
    <x v="0"/>
    <x v="4"/>
    <x v="2"/>
    <s v="no"/>
    <x v="3"/>
    <x v="1"/>
    <n v="98000"/>
    <n v="78400"/>
    <x v="0"/>
    <x v="0"/>
  </r>
  <r>
    <n v="19554"/>
    <x v="371"/>
    <x v="485"/>
    <n v="50"/>
    <n v="31"/>
    <x v="0"/>
    <x v="1"/>
    <x v="1"/>
    <s v="no"/>
    <x v="1"/>
    <x v="1"/>
    <n v="99025"/>
    <n v="99025"/>
    <x v="2"/>
    <x v="1"/>
  </r>
  <r>
    <n v="12985"/>
    <x v="263"/>
    <x v="486"/>
    <n v="35"/>
    <n v="17"/>
    <x v="0"/>
    <x v="3"/>
    <x v="3"/>
    <s v="no"/>
    <x v="3"/>
    <x v="3"/>
    <n v="68000"/>
    <n v="54400"/>
    <x v="0"/>
    <x v="0"/>
  </r>
  <r>
    <n v="13684"/>
    <x v="384"/>
    <x v="487"/>
    <n v="55"/>
    <n v="17"/>
    <x v="0"/>
    <x v="4"/>
    <x v="3"/>
    <s v="no"/>
    <x v="3"/>
    <x v="2"/>
    <n v="85000"/>
    <n v="68000"/>
    <x v="0"/>
    <x v="1"/>
  </r>
  <r>
    <n v="7185"/>
    <x v="385"/>
    <x v="488"/>
    <n v="46"/>
    <n v="11"/>
    <x v="0"/>
    <x v="1"/>
    <x v="3"/>
    <s v="yes"/>
    <x v="3"/>
    <x v="3"/>
    <n v="68000"/>
    <n v="54400"/>
    <x v="0"/>
    <x v="1"/>
  </r>
  <r>
    <n v="3177"/>
    <x v="386"/>
    <x v="11"/>
    <n v="26"/>
    <n v="4"/>
    <x v="1"/>
    <x v="0"/>
    <x v="3"/>
    <s v="no"/>
    <x v="1"/>
    <x v="3"/>
    <n v="85479"/>
    <n v="85479"/>
    <x v="2"/>
    <x v="0"/>
  </r>
  <r>
    <n v="20088"/>
    <x v="387"/>
    <x v="489"/>
    <n v="47"/>
    <n v="10"/>
    <x v="0"/>
    <x v="1"/>
    <x v="1"/>
    <s v="no"/>
    <x v="1"/>
    <x v="2"/>
    <n v="98104"/>
    <n v="98104"/>
    <x v="1"/>
    <x v="1"/>
  </r>
  <r>
    <n v="21240"/>
    <x v="388"/>
    <x v="490"/>
    <n v="38"/>
    <n v="9"/>
    <x v="1"/>
    <x v="3"/>
    <x v="3"/>
    <s v="no"/>
    <x v="0"/>
    <x v="3"/>
    <n v="81753"/>
    <n v="40876.5"/>
    <x v="2"/>
    <x v="0"/>
  </r>
  <r>
    <n v="8644"/>
    <x v="389"/>
    <x v="491"/>
    <n v="44"/>
    <n v="11"/>
    <x v="1"/>
    <x v="3"/>
    <x v="1"/>
    <s v="no"/>
    <x v="1"/>
    <x v="1"/>
    <n v="108432"/>
    <n v="108432"/>
    <x v="2"/>
    <x v="0"/>
  </r>
  <r>
    <n v="4026"/>
    <x v="4"/>
    <x v="129"/>
    <n v="34"/>
    <n v="14"/>
    <x v="0"/>
    <x v="0"/>
    <x v="2"/>
    <s v="no"/>
    <x v="1"/>
    <x v="2"/>
    <n v="86908"/>
    <n v="86908"/>
    <x v="2"/>
    <x v="0"/>
  </r>
  <r>
    <n v="10569"/>
    <x v="29"/>
    <x v="492"/>
    <n v="51"/>
    <n v="22"/>
    <x v="1"/>
    <x v="1"/>
    <x v="2"/>
    <s v="no"/>
    <x v="1"/>
    <x v="1"/>
    <n v="116184"/>
    <n v="116184"/>
    <x v="2"/>
    <x v="1"/>
  </r>
  <r>
    <n v="20361"/>
    <x v="390"/>
    <x v="380"/>
    <n v="57"/>
    <n v="1"/>
    <x v="1"/>
    <x v="1"/>
    <x v="2"/>
    <s v="no"/>
    <x v="3"/>
    <x v="3"/>
    <n v="81234"/>
    <n v="64987.199999999997"/>
    <x v="2"/>
    <x v="1"/>
  </r>
  <r>
    <n v="4653"/>
    <x v="347"/>
    <x v="118"/>
    <n v="32"/>
    <n v="13"/>
    <x v="1"/>
    <x v="1"/>
    <x v="0"/>
    <s v="no"/>
    <x v="3"/>
    <x v="0"/>
    <n v="124200"/>
    <n v="99360"/>
    <x v="2"/>
    <x v="0"/>
  </r>
  <r>
    <n v="19231"/>
    <x v="167"/>
    <x v="312"/>
    <n v="26"/>
    <n v="1"/>
    <x v="1"/>
    <x v="4"/>
    <x v="0"/>
    <s v="no"/>
    <x v="4"/>
    <x v="4"/>
    <n v="140400"/>
    <n v="56160"/>
    <x v="2"/>
    <x v="0"/>
  </r>
  <r>
    <n v="2032"/>
    <x v="126"/>
    <x v="493"/>
    <n v="52"/>
    <n v="32"/>
    <x v="1"/>
    <x v="2"/>
    <x v="1"/>
    <s v="yes"/>
    <x v="0"/>
    <x v="1"/>
    <n v="107125"/>
    <n v="53562.5"/>
    <x v="2"/>
    <x v="1"/>
  </r>
  <r>
    <n v="12064"/>
    <x v="391"/>
    <x v="494"/>
    <n v="32"/>
    <n v="1"/>
    <x v="0"/>
    <x v="4"/>
    <x v="0"/>
    <s v="no"/>
    <x v="3"/>
    <x v="2"/>
    <n v="85000"/>
    <n v="68000"/>
    <x v="0"/>
    <x v="0"/>
  </r>
  <r>
    <n v="18143"/>
    <x v="28"/>
    <x v="495"/>
    <n v="49"/>
    <n v="17"/>
    <x v="0"/>
    <x v="3"/>
    <x v="1"/>
    <s v="yes"/>
    <x v="5"/>
    <x v="0"/>
    <n v="115000"/>
    <n v="69000"/>
    <x v="1"/>
    <x v="1"/>
  </r>
  <r>
    <n v="14724"/>
    <x v="19"/>
    <x v="3"/>
    <n v="55"/>
    <n v="23"/>
    <x v="1"/>
    <x v="3"/>
    <x v="3"/>
    <s v="no"/>
    <x v="1"/>
    <x v="2"/>
    <n v="98481"/>
    <n v="98481"/>
    <x v="2"/>
    <x v="1"/>
  </r>
  <r>
    <n v="22363"/>
    <x v="392"/>
    <x v="496"/>
    <n v="44"/>
    <n v="7"/>
    <x v="0"/>
    <x v="3"/>
    <x v="5"/>
    <s v="yes"/>
    <x v="5"/>
    <x v="0"/>
    <n v="115000"/>
    <n v="69000"/>
    <x v="2"/>
    <x v="0"/>
  </r>
  <r>
    <n v="12829"/>
    <x v="35"/>
    <x v="235"/>
    <n v="60"/>
    <n v="0"/>
    <x v="1"/>
    <x v="0"/>
    <x v="2"/>
    <s v="no"/>
    <x v="1"/>
    <x v="1"/>
    <n v="122000"/>
    <n v="122000"/>
    <x v="1"/>
    <x v="1"/>
  </r>
  <r>
    <n v="2946"/>
    <x v="393"/>
    <x v="189"/>
    <n v="38"/>
    <n v="12"/>
    <x v="1"/>
    <x v="4"/>
    <x v="1"/>
    <s v="no"/>
    <x v="1"/>
    <x v="2"/>
    <n v="94084"/>
    <n v="94084"/>
    <x v="2"/>
    <x v="0"/>
  </r>
  <r>
    <n v="17266"/>
    <x v="205"/>
    <x v="497"/>
    <n v="48"/>
    <n v="1"/>
    <x v="1"/>
    <x v="2"/>
    <x v="2"/>
    <s v="no"/>
    <x v="4"/>
    <x v="3"/>
    <n v="75128"/>
    <n v="30051.200000000001"/>
    <x v="1"/>
    <x v="1"/>
  </r>
  <r>
    <n v="21905"/>
    <x v="394"/>
    <x v="498"/>
    <n v="49"/>
    <n v="20"/>
    <x v="0"/>
    <x v="4"/>
    <x v="0"/>
    <s v="no"/>
    <x v="4"/>
    <x v="4"/>
    <n v="130000"/>
    <n v="52000"/>
    <x v="0"/>
    <x v="1"/>
  </r>
  <r>
    <n v="11868"/>
    <x v="395"/>
    <x v="499"/>
    <n v="41"/>
    <n v="15"/>
    <x v="1"/>
    <x v="4"/>
    <x v="3"/>
    <s v="no"/>
    <x v="0"/>
    <x v="2"/>
    <n v="96267"/>
    <n v="48133.5"/>
    <x v="1"/>
    <x v="0"/>
  </r>
  <r>
    <n v="1101"/>
    <x v="279"/>
    <x v="26"/>
    <n v="59"/>
    <n v="10"/>
    <x v="1"/>
    <x v="3"/>
    <x v="2"/>
    <s v="no"/>
    <x v="1"/>
    <x v="2"/>
    <n v="107000"/>
    <n v="107000"/>
    <x v="1"/>
    <x v="1"/>
  </r>
  <r>
    <n v="14451"/>
    <x v="396"/>
    <x v="500"/>
    <n v="48"/>
    <n v="0"/>
    <x v="0"/>
    <x v="4"/>
    <x v="2"/>
    <s v="yes"/>
    <x v="5"/>
    <x v="3"/>
    <n v="68000"/>
    <n v="40800"/>
    <x v="0"/>
    <x v="1"/>
  </r>
  <r>
    <n v="16749"/>
    <x v="292"/>
    <x v="283"/>
    <n v="59"/>
    <n v="35"/>
    <x v="1"/>
    <x v="3"/>
    <x v="3"/>
    <s v="no"/>
    <x v="1"/>
    <x v="1"/>
    <n v="118476"/>
    <n v="118476"/>
    <x v="1"/>
    <x v="1"/>
  </r>
  <r>
    <n v="4145"/>
    <x v="397"/>
    <x v="501"/>
    <n v="49"/>
    <n v="29"/>
    <x v="0"/>
    <x v="3"/>
    <x v="2"/>
    <s v="no"/>
    <x v="0"/>
    <x v="3"/>
    <n v="68000"/>
    <n v="34000"/>
    <x v="0"/>
    <x v="1"/>
  </r>
  <r>
    <n v="14892"/>
    <x v="398"/>
    <x v="253"/>
    <n v="33"/>
    <n v="8"/>
    <x v="1"/>
    <x v="0"/>
    <x v="2"/>
    <s v="no"/>
    <x v="1"/>
    <x v="1"/>
    <n v="116803"/>
    <n v="116803"/>
    <x v="1"/>
    <x v="0"/>
  </r>
  <r>
    <n v="12555"/>
    <x v="205"/>
    <x v="0"/>
    <n v="29"/>
    <n v="3"/>
    <x v="1"/>
    <x v="1"/>
    <x v="1"/>
    <s v="no"/>
    <x v="1"/>
    <x v="1"/>
    <n v="114054"/>
    <n v="114054"/>
    <x v="1"/>
    <x v="0"/>
  </r>
  <r>
    <n v="21513"/>
    <x v="399"/>
    <x v="502"/>
    <n v="36"/>
    <n v="8"/>
    <x v="1"/>
    <x v="4"/>
    <x v="5"/>
    <s v="yes"/>
    <x v="3"/>
    <x v="0"/>
    <n v="136489"/>
    <n v="109191.2"/>
    <x v="1"/>
    <x v="0"/>
  </r>
  <r>
    <n v="15751"/>
    <x v="135"/>
    <x v="259"/>
    <n v="25"/>
    <n v="2"/>
    <x v="0"/>
    <x v="3"/>
    <x v="2"/>
    <s v="no"/>
    <x v="5"/>
    <x v="3"/>
    <n v="68000"/>
    <n v="40800"/>
    <x v="0"/>
    <x v="0"/>
  </r>
  <r>
    <n v="5700"/>
    <x v="261"/>
    <x v="503"/>
    <n v="42"/>
    <n v="10"/>
    <x v="1"/>
    <x v="3"/>
    <x v="2"/>
    <s v="no"/>
    <x v="1"/>
    <x v="2"/>
    <n v="107000"/>
    <n v="107000"/>
    <x v="1"/>
    <x v="0"/>
  </r>
  <r>
    <n v="14957"/>
    <x v="182"/>
    <x v="364"/>
    <n v="63"/>
    <n v="22"/>
    <x v="0"/>
    <x v="4"/>
    <x v="2"/>
    <s v="no"/>
    <x v="1"/>
    <x v="2"/>
    <n v="88661"/>
    <n v="88661"/>
    <x v="1"/>
    <x v="1"/>
  </r>
  <r>
    <n v="6458"/>
    <x v="119"/>
    <x v="504"/>
    <n v="44"/>
    <n v="21"/>
    <x v="0"/>
    <x v="4"/>
    <x v="1"/>
    <s v="no"/>
    <x v="3"/>
    <x v="2"/>
    <n v="85000"/>
    <n v="68000"/>
    <x v="0"/>
    <x v="0"/>
  </r>
  <r>
    <n v="17783"/>
    <x v="18"/>
    <x v="5"/>
    <n v="47"/>
    <n v="18"/>
    <x v="0"/>
    <x v="1"/>
    <x v="6"/>
    <s v="yes"/>
    <x v="0"/>
    <x v="1"/>
    <n v="98000"/>
    <n v="49000"/>
    <x v="2"/>
    <x v="1"/>
  </r>
  <r>
    <n v="3895"/>
    <x v="193"/>
    <x v="220"/>
    <n v="42"/>
    <n v="1"/>
    <x v="1"/>
    <x v="1"/>
    <x v="1"/>
    <s v="no"/>
    <x v="0"/>
    <x v="1"/>
    <n v="122000"/>
    <n v="61000"/>
    <x v="2"/>
    <x v="0"/>
  </r>
  <r>
    <n v="22001"/>
    <x v="400"/>
    <x v="262"/>
    <n v="29"/>
    <n v="2"/>
    <x v="0"/>
    <x v="4"/>
    <x v="1"/>
    <s v="no"/>
    <x v="0"/>
    <x v="1"/>
    <n v="98000"/>
    <n v="49000"/>
    <x v="2"/>
    <x v="0"/>
  </r>
  <r>
    <n v="9537"/>
    <x v="401"/>
    <x v="366"/>
    <n v="31"/>
    <n v="0"/>
    <x v="1"/>
    <x v="4"/>
    <x v="3"/>
    <s v="no"/>
    <x v="0"/>
    <x v="1"/>
    <n v="109368"/>
    <n v="54684"/>
    <x v="2"/>
    <x v="0"/>
  </r>
  <r>
    <n v="20869"/>
    <x v="402"/>
    <x v="33"/>
    <n v="39"/>
    <n v="4"/>
    <x v="1"/>
    <x v="1"/>
    <x v="2"/>
    <s v="yes"/>
    <x v="0"/>
    <x v="3"/>
    <n v="73440"/>
    <n v="36720"/>
    <x v="0"/>
    <x v="0"/>
  </r>
  <r>
    <n v="18321"/>
    <x v="161"/>
    <x v="153"/>
    <n v="35"/>
    <n v="12"/>
    <x v="0"/>
    <x v="1"/>
    <x v="1"/>
    <s v="no"/>
    <x v="0"/>
    <x v="0"/>
    <n v="115000"/>
    <n v="57500"/>
    <x v="0"/>
    <x v="0"/>
  </r>
  <r>
    <n v="16530"/>
    <x v="403"/>
    <x v="505"/>
    <n v="59"/>
    <n v="14"/>
    <x v="0"/>
    <x v="2"/>
    <x v="3"/>
    <s v="no"/>
    <x v="0"/>
    <x v="2"/>
    <n v="85000"/>
    <n v="42500"/>
    <x v="0"/>
    <x v="1"/>
  </r>
  <r>
    <n v="15919"/>
    <x v="16"/>
    <x v="158"/>
    <n v="29"/>
    <n v="1"/>
    <x v="1"/>
    <x v="0"/>
    <x v="1"/>
    <s v="no"/>
    <x v="0"/>
    <x v="0"/>
    <n v="124819"/>
    <n v="62409.5"/>
    <x v="2"/>
    <x v="0"/>
  </r>
  <r>
    <n v="14959"/>
    <x v="35"/>
    <x v="24"/>
    <n v="49"/>
    <n v="25"/>
    <x v="1"/>
    <x v="1"/>
    <x v="1"/>
    <s v="no"/>
    <x v="1"/>
    <x v="1"/>
    <n v="119878"/>
    <n v="149847.5"/>
    <x v="1"/>
    <x v="1"/>
  </r>
  <r>
    <n v="20101"/>
    <x v="404"/>
    <x v="506"/>
    <n v="43"/>
    <n v="4"/>
    <x v="1"/>
    <x v="2"/>
    <x v="0"/>
    <s v="yes"/>
    <x v="0"/>
    <x v="1"/>
    <n v="105840"/>
    <n v="52920"/>
    <x v="2"/>
    <x v="0"/>
  </r>
  <r>
    <n v="9481"/>
    <x v="405"/>
    <x v="162"/>
    <n v="26"/>
    <n v="8"/>
    <x v="1"/>
    <x v="2"/>
    <x v="1"/>
    <s v="no"/>
    <x v="3"/>
    <x v="4"/>
    <n v="141993"/>
    <n v="113594.4"/>
    <x v="2"/>
    <x v="0"/>
  </r>
  <r>
    <n v="11248"/>
    <x v="360"/>
    <x v="507"/>
    <n v="25"/>
    <n v="3"/>
    <x v="0"/>
    <x v="4"/>
    <x v="1"/>
    <s v="no"/>
    <x v="1"/>
    <x v="1"/>
    <n v="98000"/>
    <n v="98000"/>
    <x v="2"/>
    <x v="0"/>
  </r>
  <r>
    <n v="8731"/>
    <x v="406"/>
    <x v="1"/>
    <n v="53"/>
    <n v="24"/>
    <x v="1"/>
    <x v="1"/>
    <x v="3"/>
    <s v="yes"/>
    <x v="0"/>
    <x v="3"/>
    <n v="73440"/>
    <n v="36720"/>
    <x v="2"/>
    <x v="1"/>
  </r>
  <r>
    <n v="3526"/>
    <x v="407"/>
    <x v="131"/>
    <n v="43"/>
    <n v="9"/>
    <x v="1"/>
    <x v="0"/>
    <x v="4"/>
    <s v="no"/>
    <x v="1"/>
    <x v="0"/>
    <n v="132555"/>
    <n v="132555"/>
    <x v="1"/>
    <x v="0"/>
  </r>
  <r>
    <n v="9826"/>
    <x v="408"/>
    <x v="169"/>
    <n v="55"/>
    <n v="25"/>
    <x v="1"/>
    <x v="0"/>
    <x v="1"/>
    <s v="no"/>
    <x v="1"/>
    <x v="1"/>
    <n v="109593"/>
    <n v="136991.25"/>
    <x v="2"/>
    <x v="1"/>
  </r>
  <r>
    <n v="15458"/>
    <x v="409"/>
    <x v="455"/>
    <n v="43"/>
    <n v="4"/>
    <x v="0"/>
    <x v="2"/>
    <x v="1"/>
    <s v="no"/>
    <x v="1"/>
    <x v="1"/>
    <n v="100388"/>
    <n v="100388"/>
    <x v="1"/>
    <x v="0"/>
  </r>
  <r>
    <n v="16611"/>
    <x v="136"/>
    <x v="156"/>
    <n v="35"/>
    <n v="16"/>
    <x v="1"/>
    <x v="1"/>
    <x v="0"/>
    <s v="no"/>
    <x v="0"/>
    <x v="1"/>
    <n v="113606"/>
    <n v="56803"/>
    <x v="1"/>
    <x v="0"/>
  </r>
  <r>
    <n v="8677"/>
    <x v="410"/>
    <x v="198"/>
    <n v="39"/>
    <n v="8"/>
    <x v="0"/>
    <x v="3"/>
    <x v="2"/>
    <s v="no"/>
    <x v="1"/>
    <x v="2"/>
    <n v="87902"/>
    <n v="87902"/>
    <x v="2"/>
    <x v="0"/>
  </r>
  <r>
    <n v="15914"/>
    <x v="411"/>
    <x v="508"/>
    <n v="55"/>
    <n v="13"/>
    <x v="0"/>
    <x v="1"/>
    <x v="2"/>
    <s v="no"/>
    <x v="0"/>
    <x v="3"/>
    <n v="68000"/>
    <n v="34000"/>
    <x v="0"/>
    <x v="1"/>
  </r>
  <r>
    <n v="19359"/>
    <x v="263"/>
    <x v="509"/>
    <n v="44"/>
    <n v="8"/>
    <x v="1"/>
    <x v="2"/>
    <x v="2"/>
    <s v="no"/>
    <x v="1"/>
    <x v="1"/>
    <n v="122000"/>
    <n v="122000"/>
    <x v="1"/>
    <x v="0"/>
  </r>
  <r>
    <n v="20686"/>
    <x v="412"/>
    <x v="388"/>
    <n v="43"/>
    <n v="21"/>
    <x v="1"/>
    <x v="2"/>
    <x v="1"/>
    <s v="no"/>
    <x v="0"/>
    <x v="0"/>
    <n v="124200"/>
    <n v="62100"/>
    <x v="2"/>
    <x v="0"/>
  </r>
  <r>
    <n v="22582"/>
    <x v="413"/>
    <x v="143"/>
    <n v="26"/>
    <n v="4"/>
    <x v="0"/>
    <x v="0"/>
    <x v="1"/>
    <s v="no"/>
    <x v="1"/>
    <x v="1"/>
    <n v="98000"/>
    <n v="98000"/>
    <x v="0"/>
    <x v="0"/>
  </r>
  <r>
    <n v="10599"/>
    <x v="70"/>
    <x v="78"/>
    <n v="46"/>
    <n v="10"/>
    <x v="1"/>
    <x v="1"/>
    <x v="1"/>
    <s v="no"/>
    <x v="0"/>
    <x v="1"/>
    <n v="122000"/>
    <n v="61000"/>
    <x v="1"/>
    <x v="1"/>
  </r>
  <r>
    <n v="11710"/>
    <x v="61"/>
    <x v="510"/>
    <n v="45"/>
    <n v="8"/>
    <x v="1"/>
    <x v="1"/>
    <x v="1"/>
    <s v="no"/>
    <x v="1"/>
    <x v="2"/>
    <n v="103621"/>
    <n v="103621"/>
    <x v="1"/>
    <x v="1"/>
  </r>
  <r>
    <n v="1627"/>
    <x v="343"/>
    <x v="112"/>
    <n v="59"/>
    <n v="12"/>
    <x v="1"/>
    <x v="4"/>
    <x v="1"/>
    <s v="no"/>
    <x v="1"/>
    <x v="2"/>
    <n v="95082"/>
    <n v="95082"/>
    <x v="2"/>
    <x v="1"/>
  </r>
  <r>
    <n v="13743"/>
    <x v="72"/>
    <x v="43"/>
    <n v="28"/>
    <n v="8"/>
    <x v="0"/>
    <x v="4"/>
    <x v="0"/>
    <s v="no"/>
    <x v="0"/>
    <x v="1"/>
    <n v="100990"/>
    <n v="50495"/>
    <x v="1"/>
    <x v="0"/>
  </r>
  <r>
    <n v="16884"/>
    <x v="414"/>
    <x v="179"/>
    <n v="25"/>
    <n v="2"/>
    <x v="0"/>
    <x v="1"/>
    <x v="2"/>
    <s v="no"/>
    <x v="0"/>
    <x v="3"/>
    <n v="68874"/>
    <n v="34437"/>
    <x v="0"/>
    <x v="0"/>
  </r>
  <r>
    <n v="11337"/>
    <x v="217"/>
    <x v="173"/>
    <n v="39"/>
    <n v="8"/>
    <x v="1"/>
    <x v="3"/>
    <x v="2"/>
    <s v="no"/>
    <x v="1"/>
    <x v="2"/>
    <n v="102577"/>
    <n v="102577"/>
    <x v="1"/>
    <x v="0"/>
  </r>
  <r>
    <n v="6645"/>
    <x v="408"/>
    <x v="122"/>
    <n v="49"/>
    <n v="2"/>
    <x v="1"/>
    <x v="0"/>
    <x v="3"/>
    <s v="no"/>
    <x v="1"/>
    <x v="1"/>
    <n v="112788"/>
    <n v="112788"/>
    <x v="1"/>
    <x v="1"/>
  </r>
  <r>
    <n v="16663"/>
    <x v="415"/>
    <x v="511"/>
    <n v="27"/>
    <n v="7"/>
    <x v="1"/>
    <x v="1"/>
    <x v="2"/>
    <s v="no"/>
    <x v="0"/>
    <x v="1"/>
    <n v="107404"/>
    <n v="53702"/>
    <x v="2"/>
    <x v="0"/>
  </r>
  <r>
    <n v="7637"/>
    <x v="59"/>
    <x v="176"/>
    <n v="38"/>
    <n v="6"/>
    <x v="1"/>
    <x v="3"/>
    <x v="3"/>
    <s v="no"/>
    <x v="3"/>
    <x v="2"/>
    <n v="91800"/>
    <n v="73440"/>
    <x v="0"/>
    <x v="0"/>
  </r>
  <r>
    <n v="12313"/>
    <x v="366"/>
    <x v="512"/>
    <n v="42"/>
    <n v="12"/>
    <x v="1"/>
    <x v="4"/>
    <x v="3"/>
    <s v="yes"/>
    <x v="4"/>
    <x v="3"/>
    <n v="73440"/>
    <n v="29376"/>
    <x v="0"/>
    <x v="0"/>
  </r>
  <r>
    <n v="9152"/>
    <x v="416"/>
    <x v="40"/>
    <n v="27"/>
    <n v="2"/>
    <x v="0"/>
    <x v="0"/>
    <x v="2"/>
    <s v="no"/>
    <x v="1"/>
    <x v="2"/>
    <n v="85000"/>
    <n v="85000"/>
    <x v="2"/>
    <x v="0"/>
  </r>
  <r>
    <n v="11839"/>
    <x v="5"/>
    <x v="288"/>
    <n v="51"/>
    <n v="32"/>
    <x v="0"/>
    <x v="4"/>
    <x v="4"/>
    <s v="no"/>
    <x v="0"/>
    <x v="0"/>
    <n v="115000"/>
    <n v="57500"/>
    <x v="0"/>
    <x v="1"/>
  </r>
  <r>
    <n v="9850"/>
    <x v="127"/>
    <x v="418"/>
    <n v="43"/>
    <n v="17"/>
    <x v="1"/>
    <x v="0"/>
    <x v="2"/>
    <s v="no"/>
    <x v="1"/>
    <x v="3"/>
    <n v="77967"/>
    <n v="77967"/>
    <x v="0"/>
    <x v="0"/>
  </r>
  <r>
    <n v="20221"/>
    <x v="75"/>
    <x v="513"/>
    <n v="36"/>
    <n v="18"/>
    <x v="1"/>
    <x v="3"/>
    <x v="0"/>
    <s v="no"/>
    <x v="0"/>
    <x v="1"/>
    <n v="111576"/>
    <n v="55788"/>
    <x v="2"/>
    <x v="0"/>
  </r>
  <r>
    <n v="9739"/>
    <x v="35"/>
    <x v="514"/>
    <n v="35"/>
    <n v="11"/>
    <x v="1"/>
    <x v="2"/>
    <x v="3"/>
    <s v="no"/>
    <x v="2"/>
    <x v="3"/>
    <n v="73440"/>
    <n v="14688"/>
    <x v="1"/>
    <x v="0"/>
  </r>
  <r>
    <n v="20221"/>
    <x v="75"/>
    <x v="513"/>
    <n v="36"/>
    <n v="18"/>
    <x v="1"/>
    <x v="3"/>
    <x v="1"/>
    <s v="no"/>
    <x v="0"/>
    <x v="1"/>
    <n v="111576"/>
    <n v="55788"/>
    <x v="2"/>
    <x v="0"/>
  </r>
  <r>
    <n v="18899"/>
    <x v="337"/>
    <x v="9"/>
    <n v="43"/>
    <n v="13"/>
    <x v="0"/>
    <x v="0"/>
    <x v="2"/>
    <s v="yes"/>
    <x v="1"/>
    <x v="3"/>
    <n v="68000"/>
    <n v="68000"/>
    <x v="0"/>
    <x v="0"/>
  </r>
  <r>
    <n v="1019"/>
    <x v="67"/>
    <x v="337"/>
    <n v="28"/>
    <n v="1"/>
    <x v="1"/>
    <x v="0"/>
    <x v="2"/>
    <s v="no"/>
    <x v="1"/>
    <x v="3"/>
    <n v="81341"/>
    <n v="81341"/>
    <x v="1"/>
    <x v="0"/>
  </r>
  <r>
    <n v="17615"/>
    <x v="417"/>
    <x v="515"/>
    <n v="37"/>
    <n v="14"/>
    <x v="1"/>
    <x v="1"/>
    <x v="1"/>
    <s v="no"/>
    <x v="1"/>
    <x v="1"/>
    <n v="112109"/>
    <n v="112109"/>
    <x v="2"/>
    <x v="0"/>
  </r>
  <r>
    <n v="6947"/>
    <x v="157"/>
    <x v="441"/>
    <n v="52"/>
    <n v="29"/>
    <x v="1"/>
    <x v="3"/>
    <x v="3"/>
    <s v="no"/>
    <x v="1"/>
    <x v="1"/>
    <n v="107773"/>
    <n v="107773"/>
    <x v="2"/>
    <x v="1"/>
  </r>
  <r>
    <n v="3492"/>
    <x v="418"/>
    <x v="449"/>
    <n v="37"/>
    <n v="9"/>
    <x v="0"/>
    <x v="2"/>
    <x v="2"/>
    <s v="no"/>
    <x v="0"/>
    <x v="1"/>
    <n v="98000"/>
    <n v="49000"/>
    <x v="0"/>
    <x v="0"/>
  </r>
  <r>
    <n v="8595"/>
    <x v="31"/>
    <x v="516"/>
    <n v="44"/>
    <n v="1"/>
    <x v="1"/>
    <x v="2"/>
    <x v="6"/>
    <s v="yes"/>
    <x v="4"/>
    <x v="0"/>
    <n v="124200"/>
    <n v="49680"/>
    <x v="2"/>
    <x v="0"/>
  </r>
  <r>
    <n v="16696"/>
    <x v="419"/>
    <x v="124"/>
    <n v="35"/>
    <n v="12"/>
    <x v="0"/>
    <x v="1"/>
    <x v="1"/>
    <s v="no"/>
    <x v="4"/>
    <x v="2"/>
    <n v="85000"/>
    <n v="34000"/>
    <x v="0"/>
    <x v="0"/>
  </r>
  <r>
    <n v="18879"/>
    <x v="420"/>
    <x v="26"/>
    <n v="60"/>
    <n v="10"/>
    <x v="1"/>
    <x v="2"/>
    <x v="3"/>
    <s v="yes"/>
    <x v="3"/>
    <x v="2"/>
    <n v="96499"/>
    <n v="77199.199999999997"/>
    <x v="0"/>
    <x v="1"/>
  </r>
  <r>
    <n v="8561"/>
    <x v="209"/>
    <x v="191"/>
    <n v="23"/>
    <n v="3"/>
    <x v="0"/>
    <x v="3"/>
    <x v="1"/>
    <s v="no"/>
    <x v="3"/>
    <x v="1"/>
    <n v="98000"/>
    <n v="78400"/>
    <x v="0"/>
    <x v="2"/>
  </r>
  <r>
    <n v="16287"/>
    <x v="28"/>
    <x v="18"/>
    <n v="35"/>
    <n v="13"/>
    <x v="0"/>
    <x v="2"/>
    <x v="1"/>
    <s v="no"/>
    <x v="0"/>
    <x v="4"/>
    <n v="130000"/>
    <n v="65000"/>
    <x v="0"/>
    <x v="0"/>
  </r>
  <r>
    <n v="21851"/>
    <x v="421"/>
    <x v="517"/>
    <n v="40"/>
    <n v="21"/>
    <x v="0"/>
    <x v="2"/>
    <x v="3"/>
    <s v="no"/>
    <x v="3"/>
    <x v="3"/>
    <n v="68000"/>
    <n v="54400"/>
    <x v="0"/>
    <x v="0"/>
  </r>
  <r>
    <n v="16770"/>
    <x v="31"/>
    <x v="518"/>
    <n v="63"/>
    <n v="15"/>
    <x v="1"/>
    <x v="4"/>
    <x v="1"/>
    <s v="no"/>
    <x v="0"/>
    <x v="1"/>
    <n v="105840"/>
    <n v="52920"/>
    <x v="0"/>
    <x v="1"/>
  </r>
  <r>
    <n v="15372"/>
    <x v="422"/>
    <x v="519"/>
    <n v="60"/>
    <n v="35"/>
    <x v="1"/>
    <x v="4"/>
    <x v="2"/>
    <s v="no"/>
    <x v="1"/>
    <x v="1"/>
    <n v="122000"/>
    <n v="122000"/>
    <x v="1"/>
    <x v="1"/>
  </r>
  <r>
    <n v="1252"/>
    <x v="187"/>
    <x v="236"/>
    <n v="33"/>
    <n v="4"/>
    <x v="1"/>
    <x v="4"/>
    <x v="1"/>
    <s v="no"/>
    <x v="1"/>
    <x v="2"/>
    <n v="106149"/>
    <n v="106149"/>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08F3F19-AD47-4FA6-A8AF-B169C8399FFB}"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A7" firstHeaderRow="1" firstDataRow="1" firstDataCol="0"/>
  <pivotFields count="15">
    <pivotField showAll="0"/>
    <pivotField showAll="0"/>
    <pivotField showAll="0"/>
    <pivotField showAll="0"/>
    <pivotField showAll="0"/>
    <pivotField showAll="0">
      <items count="3">
        <item x="0"/>
        <item x="1"/>
        <item t="default"/>
      </items>
    </pivotField>
    <pivotField showAll="0"/>
    <pivotField showAll="0">
      <items count="8">
        <item x="2"/>
        <item x="4"/>
        <item x="6"/>
        <item x="5"/>
        <item x="0"/>
        <item x="3"/>
        <item x="1"/>
        <item t="default"/>
      </items>
    </pivotField>
    <pivotField showAll="0"/>
    <pivotField showAll="0"/>
    <pivotField showAll="0"/>
    <pivotField numFmtId="44" showAll="0"/>
    <pivotField dataField="1" numFmtId="44" showAll="0"/>
    <pivotField showAll="0">
      <items count="4">
        <item x="2"/>
        <item x="0"/>
        <item x="1"/>
        <item t="default"/>
      </items>
    </pivotField>
    <pivotField showAll="0"/>
  </pivotFields>
  <rowItems count="1">
    <i/>
  </rowItems>
  <colItems count="1">
    <i/>
  </colItems>
  <dataFields count="1">
    <dataField name="Average of Salary" fld="12" subtotal="average" baseField="0"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A7E1990-5EA8-431A-86A5-26CA1938E7F1}" name="PivotTable1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44:I51" firstHeaderRow="1" firstDataRow="2" firstDataCol="1"/>
  <pivotFields count="15">
    <pivotField showAll="0"/>
    <pivotField showAll="0"/>
    <pivotField showAll="0"/>
    <pivotField showAll="0"/>
    <pivotField showAll="0"/>
    <pivotField showAll="0">
      <items count="3">
        <item x="0"/>
        <item x="1"/>
        <item t="default"/>
      </items>
    </pivotField>
    <pivotField axis="axisRow" showAll="0">
      <items count="6">
        <item x="3"/>
        <item x="0"/>
        <item x="2"/>
        <item x="4"/>
        <item x="1"/>
        <item t="default"/>
      </items>
    </pivotField>
    <pivotField axis="axisCol" showAll="0">
      <items count="8">
        <item x="2"/>
        <item x="4"/>
        <item x="6"/>
        <item x="5"/>
        <item x="0"/>
        <item x="3"/>
        <item x="1"/>
        <item t="default"/>
      </items>
    </pivotField>
    <pivotField showAll="0"/>
    <pivotField showAll="0"/>
    <pivotField showAll="0">
      <items count="6">
        <item x="3"/>
        <item x="2"/>
        <item x="1"/>
        <item x="0"/>
        <item x="4"/>
        <item t="default"/>
      </items>
    </pivotField>
    <pivotField dataField="1" numFmtId="44" showAll="0"/>
    <pivotField numFmtId="44" showAll="0"/>
    <pivotField showAll="0">
      <items count="4">
        <item x="2"/>
        <item x="0"/>
        <item x="1"/>
        <item t="default"/>
      </items>
    </pivotField>
    <pivotField showAll="0"/>
  </pivotFields>
  <rowFields count="1">
    <field x="6"/>
  </rowFields>
  <rowItems count="6">
    <i>
      <x/>
    </i>
    <i>
      <x v="1"/>
    </i>
    <i>
      <x v="2"/>
    </i>
    <i>
      <x v="3"/>
    </i>
    <i>
      <x v="4"/>
    </i>
    <i t="grand">
      <x/>
    </i>
  </rowItems>
  <colFields count="1">
    <field x="7"/>
  </colFields>
  <colItems count="8">
    <i>
      <x/>
    </i>
    <i>
      <x v="1"/>
    </i>
    <i>
      <x v="2"/>
    </i>
    <i>
      <x v="3"/>
    </i>
    <i>
      <x v="4"/>
    </i>
    <i>
      <x v="5"/>
    </i>
    <i>
      <x v="6"/>
    </i>
    <i t="grand">
      <x/>
    </i>
  </colItems>
  <dataFields count="1">
    <dataField name="Average of FTE Salary" fld="11" subtotal="average" baseField="0"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7898269-4C2C-4E07-9C6F-F3B79A7D7664}"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8:B24" firstHeaderRow="1" firstDataRow="1" firstDataCol="1"/>
  <pivotFields count="15">
    <pivotField showAll="0"/>
    <pivotField showAll="0"/>
    <pivotField showAll="0"/>
    <pivotField showAll="0"/>
    <pivotField showAll="0"/>
    <pivotField showAll="0">
      <items count="3">
        <item x="0"/>
        <item x="1"/>
        <item t="default"/>
      </items>
    </pivotField>
    <pivotField axis="axisRow" showAll="0">
      <items count="6">
        <item x="3"/>
        <item x="0"/>
        <item x="2"/>
        <item x="4"/>
        <item x="1"/>
        <item t="default"/>
      </items>
    </pivotField>
    <pivotField showAll="0">
      <items count="8">
        <item x="2"/>
        <item x="4"/>
        <item x="6"/>
        <item x="5"/>
        <item x="0"/>
        <item x="3"/>
        <item x="1"/>
        <item t="default"/>
      </items>
    </pivotField>
    <pivotField showAll="0"/>
    <pivotField showAll="0"/>
    <pivotField showAll="0"/>
    <pivotField numFmtId="44" showAll="0"/>
    <pivotField dataField="1" numFmtId="44" showAll="0"/>
    <pivotField showAll="0">
      <items count="4">
        <item x="2"/>
        <item x="0"/>
        <item x="1"/>
        <item t="default"/>
      </items>
    </pivotField>
    <pivotField showAll="0"/>
  </pivotFields>
  <rowFields count="1">
    <field x="6"/>
  </rowFields>
  <rowItems count="6">
    <i>
      <x/>
    </i>
    <i>
      <x v="1"/>
    </i>
    <i>
      <x v="2"/>
    </i>
    <i>
      <x v="3"/>
    </i>
    <i>
      <x v="4"/>
    </i>
    <i t="grand">
      <x/>
    </i>
  </rowItems>
  <colItems count="1">
    <i/>
  </colItems>
  <dataFields count="1">
    <dataField name="Sum of Salary" fld="12" baseField="0"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87FA515-1C69-4CC8-9ED2-0720A2A66C0E}" name="PivotTable3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1:B115" firstHeaderRow="1" firstDataRow="1" firstDataCol="1"/>
  <pivotFields count="15">
    <pivotField showAll="0"/>
    <pivotField showAll="0" measureFilter="1">
      <items count="424">
        <item x="292"/>
        <item x="422"/>
        <item x="214"/>
        <item x="387"/>
        <item x="84"/>
        <item x="343"/>
        <item x="271"/>
        <item x="155"/>
        <item x="287"/>
        <item x="143"/>
        <item x="335"/>
        <item x="82"/>
        <item x="331"/>
        <item x="346"/>
        <item x="21"/>
        <item x="314"/>
        <item x="324"/>
        <item x="15"/>
        <item x="181"/>
        <item x="259"/>
        <item x="380"/>
        <item x="123"/>
        <item x="110"/>
        <item x="54"/>
        <item x="58"/>
        <item x="186"/>
        <item x="121"/>
        <item x="164"/>
        <item x="139"/>
        <item x="354"/>
        <item x="282"/>
        <item x="308"/>
        <item x="126"/>
        <item x="189"/>
        <item x="200"/>
        <item x="393"/>
        <item x="317"/>
        <item x="213"/>
        <item x="211"/>
        <item x="273"/>
        <item x="129"/>
        <item x="305"/>
        <item x="275"/>
        <item x="367"/>
        <item x="3"/>
        <item x="83"/>
        <item x="311"/>
        <item x="312"/>
        <item x="223"/>
        <item x="191"/>
        <item x="159"/>
        <item x="407"/>
        <item x="352"/>
        <item x="102"/>
        <item x="78"/>
        <item x="119"/>
        <item x="247"/>
        <item x="150"/>
        <item x="256"/>
        <item x="112"/>
        <item x="349"/>
        <item x="358"/>
        <item x="254"/>
        <item x="321"/>
        <item x="414"/>
        <item x="166"/>
        <item x="40"/>
        <item x="270"/>
        <item x="190"/>
        <item x="24"/>
        <item x="301"/>
        <item x="136"/>
        <item x="106"/>
        <item x="29"/>
        <item x="418"/>
        <item x="355"/>
        <item x="240"/>
        <item x="323"/>
        <item x="140"/>
        <item x="61"/>
        <item x="101"/>
        <item x="397"/>
        <item x="65"/>
        <item x="162"/>
        <item x="85"/>
        <item x="196"/>
        <item x="130"/>
        <item x="49"/>
        <item x="175"/>
        <item x="383"/>
        <item x="209"/>
        <item x="79"/>
        <item x="235"/>
        <item x="359"/>
        <item x="98"/>
        <item x="157"/>
        <item x="14"/>
        <item x="302"/>
        <item x="390"/>
        <item x="290"/>
        <item x="16"/>
        <item x="11"/>
        <item x="169"/>
        <item x="194"/>
        <item x="411"/>
        <item x="176"/>
        <item x="362"/>
        <item x="318"/>
        <item x="243"/>
        <item x="108"/>
        <item x="203"/>
        <item x="50"/>
        <item x="120"/>
        <item x="415"/>
        <item x="153"/>
        <item x="53"/>
        <item x="115"/>
        <item x="281"/>
        <item x="197"/>
        <item x="420"/>
        <item x="276"/>
        <item x="328"/>
        <item x="241"/>
        <item x="69"/>
        <item x="142"/>
        <item x="177"/>
        <item x="369"/>
        <item x="48"/>
        <item x="25"/>
        <item x="205"/>
        <item x="124"/>
        <item x="172"/>
        <item x="372"/>
        <item x="44"/>
        <item x="417"/>
        <item x="246"/>
        <item x="249"/>
        <item x="360"/>
        <item x="398"/>
        <item x="111"/>
        <item x="384"/>
        <item x="278"/>
        <item x="365"/>
        <item x="338"/>
        <item x="171"/>
        <item x="382"/>
        <item x="86"/>
        <item x="253"/>
        <item x="319"/>
        <item x="36"/>
        <item x="219"/>
        <item x="351"/>
        <item x="261"/>
        <item x="180"/>
        <item x="303"/>
        <item x="289"/>
        <item x="376"/>
        <item x="179"/>
        <item x="315"/>
        <item x="149"/>
        <item x="375"/>
        <item x="257"/>
        <item x="160"/>
        <item x="310"/>
        <item x="7"/>
        <item x="168"/>
        <item x="371"/>
        <item x="293"/>
        <item x="198"/>
        <item x="379"/>
        <item x="263"/>
        <item x="266"/>
        <item x="127"/>
        <item x="389"/>
        <item x="10"/>
        <item x="327"/>
        <item x="233"/>
        <item x="404"/>
        <item x="370"/>
        <item x="218"/>
        <item x="141"/>
        <item x="206"/>
        <item x="71"/>
        <item x="63"/>
        <item x="294"/>
        <item x="19"/>
        <item x="222"/>
        <item x="361"/>
        <item x="237"/>
        <item x="255"/>
        <item x="104"/>
        <item x="406"/>
        <item x="146"/>
        <item x="18"/>
        <item x="267"/>
        <item x="245"/>
        <item x="45"/>
        <item x="125"/>
        <item x="9"/>
        <item x="72"/>
        <item x="416"/>
        <item x="183"/>
        <item x="353"/>
        <item x="269"/>
        <item x="122"/>
        <item x="70"/>
        <item x="116"/>
        <item x="212"/>
        <item x="231"/>
        <item x="32"/>
        <item x="220"/>
        <item x="225"/>
        <item x="74"/>
        <item x="37"/>
        <item x="332"/>
        <item x="161"/>
        <item x="388"/>
        <item x="41"/>
        <item x="57"/>
        <item x="163"/>
        <item x="77"/>
        <item x="402"/>
        <item x="348"/>
        <item x="216"/>
        <item x="137"/>
        <item x="258"/>
        <item x="217"/>
        <item x="96"/>
        <item x="23"/>
        <item x="400"/>
        <item x="230"/>
        <item x="51"/>
        <item x="392"/>
        <item x="299"/>
        <item x="373"/>
        <item x="357"/>
        <item x="34"/>
        <item x="339"/>
        <item x="334"/>
        <item x="279"/>
        <item x="185"/>
        <item x="381"/>
        <item x="224"/>
        <item x="391"/>
        <item x="66"/>
        <item x="131"/>
        <item x="341"/>
        <item x="410"/>
        <item x="60"/>
        <item x="93"/>
        <item x="239"/>
        <item x="148"/>
        <item x="46"/>
        <item x="228"/>
        <item x="128"/>
        <item x="207"/>
        <item x="80"/>
        <item x="342"/>
        <item x="405"/>
        <item x="234"/>
        <item x="304"/>
        <item x="117"/>
        <item x="330"/>
        <item x="28"/>
        <item x="118"/>
        <item x="295"/>
        <item x="364"/>
        <item x="320"/>
        <item x="229"/>
        <item x="344"/>
        <item x="199"/>
        <item x="316"/>
        <item x="64"/>
        <item x="210"/>
        <item x="147"/>
        <item x="182"/>
        <item x="208"/>
        <item x="188"/>
        <item x="296"/>
        <item x="134"/>
        <item x="107"/>
        <item x="325"/>
        <item x="236"/>
        <item x="56"/>
        <item x="99"/>
        <item x="165"/>
        <item x="42"/>
        <item x="173"/>
        <item x="55"/>
        <item x="1"/>
        <item x="227"/>
        <item x="178"/>
        <item x="62"/>
        <item x="252"/>
        <item x="413"/>
        <item x="152"/>
        <item x="4"/>
        <item x="260"/>
        <item x="97"/>
        <item x="35"/>
        <item x="374"/>
        <item x="109"/>
        <item x="238"/>
        <item x="340"/>
        <item x="91"/>
        <item x="133"/>
        <item x="158"/>
        <item x="2"/>
        <item x="345"/>
        <item x="333"/>
        <item x="6"/>
        <item x="291"/>
        <item x="195"/>
        <item x="95"/>
        <item x="368"/>
        <item x="337"/>
        <item x="132"/>
        <item x="20"/>
        <item x="17"/>
        <item x="33"/>
        <item x="297"/>
        <item x="286"/>
        <item x="395"/>
        <item x="280"/>
        <item x="363"/>
        <item x="81"/>
        <item x="27"/>
        <item x="377"/>
        <item x="59"/>
        <item x="67"/>
        <item x="90"/>
        <item x="274"/>
        <item x="285"/>
        <item x="174"/>
        <item x="170"/>
        <item x="22"/>
        <item x="421"/>
        <item x="386"/>
        <item x="419"/>
        <item x="39"/>
        <item x="283"/>
        <item x="221"/>
        <item x="184"/>
        <item x="8"/>
        <item x="399"/>
        <item x="31"/>
        <item x="193"/>
        <item x="409"/>
        <item x="412"/>
        <item x="248"/>
        <item x="306"/>
        <item x="226"/>
        <item x="192"/>
        <item x="215"/>
        <item x="68"/>
        <item x="154"/>
        <item x="401"/>
        <item x="326"/>
        <item x="347"/>
        <item x="300"/>
        <item x="47"/>
        <item x="75"/>
        <item x="43"/>
        <item x="396"/>
        <item x="307"/>
        <item x="5"/>
        <item x="408"/>
        <item x="38"/>
        <item x="88"/>
        <item x="145"/>
        <item x="298"/>
        <item x="103"/>
        <item x="105"/>
        <item x="138"/>
        <item x="76"/>
        <item x="313"/>
        <item x="204"/>
        <item x="284"/>
        <item x="135"/>
        <item x="187"/>
        <item x="73"/>
        <item x="0"/>
        <item x="244"/>
        <item x="87"/>
        <item x="144"/>
        <item x="272"/>
        <item x="202"/>
        <item x="113"/>
        <item x="13"/>
        <item x="26"/>
        <item x="114"/>
        <item x="156"/>
        <item x="52"/>
        <item x="250"/>
        <item x="94"/>
        <item x="268"/>
        <item x="30"/>
        <item x="232"/>
        <item x="100"/>
        <item x="378"/>
        <item x="277"/>
        <item x="265"/>
        <item x="356"/>
        <item x="403"/>
        <item x="394"/>
        <item x="366"/>
        <item x="242"/>
        <item x="350"/>
        <item x="151"/>
        <item x="12"/>
        <item x="329"/>
        <item x="167"/>
        <item x="322"/>
        <item x="92"/>
        <item x="262"/>
        <item x="89"/>
        <item x="336"/>
        <item x="201"/>
        <item x="251"/>
        <item x="264"/>
        <item x="309"/>
        <item x="385"/>
        <item x="288"/>
        <item t="default"/>
      </items>
    </pivotField>
    <pivotField axis="axisRow" showAll="0" measureFilter="1">
      <items count="521">
        <item x="322"/>
        <item x="177"/>
        <item x="164"/>
        <item x="379"/>
        <item x="59"/>
        <item x="91"/>
        <item x="89"/>
        <item x="491"/>
        <item x="329"/>
        <item x="21"/>
        <item x="449"/>
        <item x="200"/>
        <item x="28"/>
        <item x="56"/>
        <item x="170"/>
        <item x="444"/>
        <item x="356"/>
        <item x="2"/>
        <item x="147"/>
        <item x="293"/>
        <item x="233"/>
        <item x="487"/>
        <item x="136"/>
        <item x="46"/>
        <item x="128"/>
        <item x="93"/>
        <item x="473"/>
        <item x="107"/>
        <item x="81"/>
        <item x="302"/>
        <item x="291"/>
        <item x="318"/>
        <item x="132"/>
        <item x="270"/>
        <item x="516"/>
        <item x="426"/>
        <item x="518"/>
        <item x="470"/>
        <item x="478"/>
        <item x="358"/>
        <item x="454"/>
        <item x="388"/>
        <item x="249"/>
        <item x="288"/>
        <item x="360"/>
        <item x="222"/>
        <item x="215"/>
        <item x="519"/>
        <item x="137"/>
        <item x="119"/>
        <item x="504"/>
        <item x="19"/>
        <item x="229"/>
        <item x="384"/>
        <item x="315"/>
        <item x="408"/>
        <item x="47"/>
        <item x="13"/>
        <item x="161"/>
        <item x="338"/>
        <item x="192"/>
        <item x="244"/>
        <item x="237"/>
        <item x="460"/>
        <item x="144"/>
        <item x="402"/>
        <item x="108"/>
        <item x="54"/>
        <item x="348"/>
        <item x="114"/>
        <item x="205"/>
        <item x="138"/>
        <item x="171"/>
        <item x="375"/>
        <item x="486"/>
        <item x="419"/>
        <item x="490"/>
        <item x="139"/>
        <item x="71"/>
        <item x="505"/>
        <item x="135"/>
        <item x="479"/>
        <item x="440"/>
        <item x="247"/>
        <item x="514"/>
        <item x="27"/>
        <item x="250"/>
        <item x="427"/>
        <item x="243"/>
        <item x="126"/>
        <item x="352"/>
        <item x="199"/>
        <item x="175"/>
        <item x="489"/>
        <item x="210"/>
        <item x="163"/>
        <item x="67"/>
        <item x="365"/>
        <item x="507"/>
        <item x="332"/>
        <item x="498"/>
        <item x="51"/>
        <item x="350"/>
        <item x="133"/>
        <item x="448"/>
        <item x="286"/>
        <item x="41"/>
        <item x="439"/>
        <item x="308"/>
        <item x="65"/>
        <item x="411"/>
        <item x="268"/>
        <item x="60"/>
        <item x="218"/>
        <item x="230"/>
        <item x="239"/>
        <item x="466"/>
        <item x="117"/>
        <item x="236"/>
        <item x="417"/>
        <item x="263"/>
        <item x="407"/>
        <item x="446"/>
        <item x="98"/>
        <item x="428"/>
        <item x="469"/>
        <item x="438"/>
        <item x="319"/>
        <item x="159"/>
        <item x="343"/>
        <item x="217"/>
        <item x="455"/>
        <item x="294"/>
        <item x="61"/>
        <item x="282"/>
        <item x="501"/>
        <item x="140"/>
        <item x="261"/>
        <item x="431"/>
        <item x="310"/>
        <item x="399"/>
        <item x="111"/>
        <item x="363"/>
        <item x="323"/>
        <item x="280"/>
        <item x="149"/>
        <item x="134"/>
        <item x="23"/>
        <item x="493"/>
        <item x="207"/>
        <item x="257"/>
        <item x="82"/>
        <item x="415"/>
        <item x="39"/>
        <item x="290"/>
        <item x="79"/>
        <item x="123"/>
        <item x="480"/>
        <item x="299"/>
        <item x="48"/>
        <item x="296"/>
        <item x="179"/>
        <item x="418"/>
        <item x="515"/>
        <item x="316"/>
        <item x="467"/>
        <item x="55"/>
        <item x="328"/>
        <item x="383"/>
        <item x="387"/>
        <item x="101"/>
        <item x="0"/>
        <item x="195"/>
        <item x="26"/>
        <item x="354"/>
        <item x="342"/>
        <item x="209"/>
        <item x="143"/>
        <item x="359"/>
        <item x="178"/>
        <item x="465"/>
        <item x="458"/>
        <item x="410"/>
        <item x="44"/>
        <item x="145"/>
        <item x="104"/>
        <item x="88"/>
        <item x="251"/>
        <item x="80"/>
        <item x="172"/>
        <item x="256"/>
        <item x="324"/>
        <item x="320"/>
        <item x="12"/>
        <item x="235"/>
        <item x="174"/>
        <item x="8"/>
        <item x="184"/>
        <item x="87"/>
        <item x="450"/>
        <item x="66"/>
        <item x="113"/>
        <item x="18"/>
        <item x="377"/>
        <item x="284"/>
        <item x="10"/>
        <item x="459"/>
        <item x="258"/>
        <item x="125"/>
        <item x="220"/>
        <item x="436"/>
        <item x="131"/>
        <item x="221"/>
        <item x="252"/>
        <item x="472"/>
        <item x="262"/>
        <item x="45"/>
        <item x="151"/>
        <item x="245"/>
        <item x="154"/>
        <item x="381"/>
        <item x="150"/>
        <item x="194"/>
        <item x="269"/>
        <item x="224"/>
        <item x="63"/>
        <item x="33"/>
        <item x="325"/>
        <item x="416"/>
        <item x="368"/>
        <item x="355"/>
        <item x="5"/>
        <item x="37"/>
        <item x="112"/>
        <item x="420"/>
        <item x="1"/>
        <item x="283"/>
        <item x="260"/>
        <item x="254"/>
        <item x="404"/>
        <item x="494"/>
        <item x="353"/>
        <item x="146"/>
        <item x="334"/>
        <item x="364"/>
        <item x="273"/>
        <item x="371"/>
        <item x="272"/>
        <item x="277"/>
        <item x="451"/>
        <item x="335"/>
        <item x="485"/>
        <item x="11"/>
        <item x="437"/>
        <item x="361"/>
        <item x="423"/>
        <item x="513"/>
        <item x="166"/>
        <item x="96"/>
        <item x="337"/>
        <item x="508"/>
        <item x="49"/>
        <item x="453"/>
        <item x="464"/>
        <item x="183"/>
        <item x="16"/>
        <item x="389"/>
        <item x="422"/>
        <item x="115"/>
        <item x="52"/>
        <item x="347"/>
        <item x="303"/>
        <item x="153"/>
        <item x="6"/>
        <item x="214"/>
        <item x="148"/>
        <item x="271"/>
        <item x="187"/>
        <item x="311"/>
        <item x="297"/>
        <item x="180"/>
        <item x="392"/>
        <item x="468"/>
        <item x="130"/>
        <item x="475"/>
        <item x="226"/>
        <item x="441"/>
        <item x="212"/>
        <item x="474"/>
        <item x="50"/>
        <item x="38"/>
        <item x="265"/>
        <item x="506"/>
        <item x="242"/>
        <item x="193"/>
        <item x="349"/>
        <item x="443"/>
        <item x="248"/>
        <item x="266"/>
        <item x="452"/>
        <item x="317"/>
        <item x="421"/>
        <item x="30"/>
        <item x="267"/>
        <item x="409"/>
        <item x="203"/>
        <item x="102"/>
        <item x="341"/>
        <item x="62"/>
        <item x="92"/>
        <item x="173"/>
        <item x="20"/>
        <item x="435"/>
        <item x="216"/>
        <item x="313"/>
        <item x="129"/>
        <item x="500"/>
        <item x="321"/>
        <item x="370"/>
        <item x="240"/>
        <item x="213"/>
        <item x="141"/>
        <item x="157"/>
        <item x="492"/>
        <item x="378"/>
        <item x="83"/>
        <item x="372"/>
        <item x="253"/>
        <item x="15"/>
        <item x="4"/>
        <item x="241"/>
        <item x="369"/>
        <item x="155"/>
        <item x="432"/>
        <item x="499"/>
        <item x="393"/>
        <item x="496"/>
        <item x="90"/>
        <item x="477"/>
        <item x="429"/>
        <item x="511"/>
        <item x="330"/>
        <item x="386"/>
        <item x="238"/>
        <item x="232"/>
        <item x="110"/>
        <item x="162"/>
        <item x="382"/>
        <item x="228"/>
        <item x="396"/>
        <item x="219"/>
        <item x="223"/>
        <item x="398"/>
        <item x="304"/>
        <item x="497"/>
        <item x="309"/>
        <item x="43"/>
        <item x="182"/>
        <item x="414"/>
        <item x="95"/>
        <item x="300"/>
        <item x="295"/>
        <item x="197"/>
        <item x="395"/>
        <item x="406"/>
        <item x="457"/>
        <item x="275"/>
        <item x="326"/>
        <item x="285"/>
        <item x="403"/>
        <item x="58"/>
        <item x="152"/>
        <item x="483"/>
        <item x="165"/>
        <item x="512"/>
        <item x="36"/>
        <item x="181"/>
        <item x="305"/>
        <item x="29"/>
        <item x="482"/>
        <item x="189"/>
        <item x="64"/>
        <item x="42"/>
        <item x="158"/>
        <item x="156"/>
        <item x="510"/>
        <item x="412"/>
        <item x="53"/>
        <item x="255"/>
        <item x="385"/>
        <item x="476"/>
        <item x="9"/>
        <item x="463"/>
        <item x="176"/>
        <item x="69"/>
        <item x="120"/>
        <item x="391"/>
        <item x="116"/>
        <item x="118"/>
        <item x="234"/>
        <item x="339"/>
        <item x="31"/>
        <item x="186"/>
        <item x="276"/>
        <item x="105"/>
        <item x="413"/>
        <item x="397"/>
        <item x="14"/>
        <item x="344"/>
        <item x="425"/>
        <item x="279"/>
        <item x="351"/>
        <item x="434"/>
        <item x="471"/>
        <item x="503"/>
        <item x="122"/>
        <item x="25"/>
        <item x="456"/>
        <item x="281"/>
        <item x="124"/>
        <item x="442"/>
        <item x="430"/>
        <item x="345"/>
        <item x="17"/>
        <item x="121"/>
        <item x="509"/>
        <item x="445"/>
        <item x="77"/>
        <item x="185"/>
        <item x="287"/>
        <item x="401"/>
        <item x="333"/>
        <item x="259"/>
        <item x="336"/>
        <item x="57"/>
        <item x="94"/>
        <item x="301"/>
        <item x="274"/>
        <item x="24"/>
        <item x="211"/>
        <item x="484"/>
        <item x="225"/>
        <item x="204"/>
        <item x="394"/>
        <item x="68"/>
        <item x="298"/>
        <item x="167"/>
        <item x="85"/>
        <item x="34"/>
        <item x="481"/>
        <item x="340"/>
        <item x="227"/>
        <item x="366"/>
        <item x="74"/>
        <item x="502"/>
        <item x="202"/>
        <item x="246"/>
        <item x="447"/>
        <item x="99"/>
        <item x="400"/>
        <item x="84"/>
        <item x="97"/>
        <item x="433"/>
        <item x="362"/>
        <item x="376"/>
        <item x="160"/>
        <item x="7"/>
        <item x="76"/>
        <item x="75"/>
        <item x="86"/>
        <item x="22"/>
        <item x="517"/>
        <item x="70"/>
        <item x="461"/>
        <item x="380"/>
        <item x="373"/>
        <item x="357"/>
        <item x="278"/>
        <item x="314"/>
        <item x="208"/>
        <item x="100"/>
        <item x="462"/>
        <item x="188"/>
        <item x="40"/>
        <item x="78"/>
        <item x="289"/>
        <item x="73"/>
        <item x="206"/>
        <item x="127"/>
        <item x="201"/>
        <item x="346"/>
        <item x="106"/>
        <item x="168"/>
        <item x="390"/>
        <item x="142"/>
        <item x="196"/>
        <item x="190"/>
        <item x="169"/>
        <item x="374"/>
        <item x="3"/>
        <item x="35"/>
        <item x="198"/>
        <item x="307"/>
        <item x="32"/>
        <item x="495"/>
        <item x="191"/>
        <item x="72"/>
        <item x="312"/>
        <item x="327"/>
        <item x="264"/>
        <item x="109"/>
        <item x="424"/>
        <item x="331"/>
        <item x="405"/>
        <item x="306"/>
        <item x="292"/>
        <item x="231"/>
        <item x="367"/>
        <item x="488"/>
        <item x="103"/>
        <item t="default"/>
      </items>
    </pivotField>
    <pivotField showAll="0"/>
    <pivotField showAll="0"/>
    <pivotField showAll="0">
      <items count="3">
        <item x="0"/>
        <item x="1"/>
        <item t="default"/>
      </items>
    </pivotField>
    <pivotField showAll="0">
      <items count="6">
        <item x="3"/>
        <item x="0"/>
        <item x="2"/>
        <item x="4"/>
        <item x="1"/>
        <item t="default"/>
      </items>
    </pivotField>
    <pivotField showAll="0">
      <items count="8">
        <item x="2"/>
        <item x="4"/>
        <item x="6"/>
        <item x="5"/>
        <item x="0"/>
        <item x="3"/>
        <item x="1"/>
        <item t="default"/>
      </items>
    </pivotField>
    <pivotField showAll="0"/>
    <pivotField showAll="0">
      <items count="7">
        <item x="2"/>
        <item x="4"/>
        <item x="0"/>
        <item x="5"/>
        <item x="3"/>
        <item x="1"/>
        <item t="default"/>
      </items>
    </pivotField>
    <pivotField showAll="0"/>
    <pivotField numFmtId="44" showAll="0"/>
    <pivotField numFmtId="44" showAll="0"/>
    <pivotField dataField="1" showAll="0">
      <items count="4">
        <item x="2"/>
        <item x="0"/>
        <item x="1"/>
        <item t="default"/>
      </items>
    </pivotField>
    <pivotField showAll="0">
      <items count="4">
        <item x="0"/>
        <item x="1"/>
        <item x="2"/>
        <item t="default"/>
      </items>
    </pivotField>
  </pivotFields>
  <rowFields count="1">
    <field x="2"/>
  </rowFields>
  <rowItems count="4">
    <i>
      <x v="112"/>
    </i>
    <i>
      <x v="233"/>
    </i>
    <i>
      <x v="438"/>
    </i>
    <i t="grand">
      <x/>
    </i>
  </rowItems>
  <colItems count="1">
    <i/>
  </colItems>
  <dataFields count="1">
    <dataField name="Count of Performance" fld="13" subtotal="count" baseField="0" baseItem="0"/>
  </dataFields>
  <pivotTableStyleInfo name="PivotStyleLight16" showRowHeaders="1" showColHeaders="1" showRowStripes="0" showColStripes="0" showLastColumn="1"/>
  <filters count="2">
    <filter fld="1" type="count" evalOrder="-1" id="1" iMeasureFld="0">
      <autoFilter ref="A1">
        <filterColumn colId="0">
          <top10 val="3" filterVal="3"/>
        </filterColumn>
      </autoFilter>
    </filter>
    <filter fld="2"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72CBE9E-3EA8-487B-8D43-2530308F339F}" name="PivotTable2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1:B75" firstHeaderRow="1" firstDataRow="1" firstDataCol="1"/>
  <pivotFields count="15">
    <pivotField dataField="1" showAll="0"/>
    <pivotField showAll="0"/>
    <pivotField showAll="0"/>
    <pivotField showAll="0"/>
    <pivotField showAll="0"/>
    <pivotField showAll="0">
      <items count="3">
        <item x="0"/>
        <item x="1"/>
        <item t="default"/>
      </items>
    </pivotField>
    <pivotField showAll="0">
      <items count="6">
        <item x="3"/>
        <item x="0"/>
        <item x="2"/>
        <item x="4"/>
        <item x="1"/>
        <item t="default"/>
      </items>
    </pivotField>
    <pivotField showAll="0">
      <items count="8">
        <item x="2"/>
        <item x="4"/>
        <item x="6"/>
        <item x="5"/>
        <item x="0"/>
        <item x="3"/>
        <item x="1"/>
        <item t="default"/>
      </items>
    </pivotField>
    <pivotField showAll="0"/>
    <pivotField showAll="0">
      <items count="7">
        <item x="2"/>
        <item x="4"/>
        <item x="0"/>
        <item x="5"/>
        <item x="3"/>
        <item x="1"/>
        <item t="default"/>
      </items>
    </pivotField>
    <pivotField showAll="0"/>
    <pivotField numFmtId="44" showAll="0"/>
    <pivotField numFmtId="44" showAll="0"/>
    <pivotField axis="axisRow" showAll="0">
      <items count="4">
        <item x="2"/>
        <item x="0"/>
        <item x="1"/>
        <item t="default"/>
      </items>
    </pivotField>
    <pivotField showAll="0"/>
  </pivotFields>
  <rowFields count="1">
    <field x="13"/>
  </rowFields>
  <rowItems count="4">
    <i>
      <x/>
    </i>
    <i>
      <x v="1"/>
    </i>
    <i>
      <x v="2"/>
    </i>
    <i t="grand">
      <x/>
    </i>
  </rowItems>
  <colItems count="1">
    <i/>
  </colItems>
  <dataFields count="1">
    <dataField name="Count of ID" fld="0" subtotal="count"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4C7AD48-5E0D-4BFB-896F-06CCCDB16730}" name="PivotTable1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A13" firstHeaderRow="1" firstDataRow="1" firstDataCol="0"/>
  <pivotFields count="15">
    <pivotField dataField="1" showAll="0"/>
    <pivotField showAll="0"/>
    <pivotField showAll="0"/>
    <pivotField showAll="0"/>
    <pivotField showAll="0"/>
    <pivotField showAll="0">
      <items count="3">
        <item x="0"/>
        <item x="1"/>
        <item t="default"/>
      </items>
    </pivotField>
    <pivotField showAll="0"/>
    <pivotField showAll="0">
      <items count="8">
        <item x="2"/>
        <item x="4"/>
        <item x="6"/>
        <item x="5"/>
        <item x="0"/>
        <item x="3"/>
        <item x="1"/>
        <item t="default"/>
      </items>
    </pivotField>
    <pivotField showAll="0"/>
    <pivotField showAll="0"/>
    <pivotField showAll="0"/>
    <pivotField numFmtId="44" showAll="0"/>
    <pivotField numFmtId="44" showAll="0"/>
    <pivotField showAll="0">
      <items count="4">
        <item x="2"/>
        <item x="0"/>
        <item x="1"/>
        <item t="default"/>
      </items>
    </pivotField>
    <pivotField showAll="0"/>
  </pivotFields>
  <rowItems count="1">
    <i/>
  </rowItems>
  <colItems count="1">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ACC481B-2A0A-454F-BFF4-793337668B05}" name="PivotTable3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8:B102" firstHeaderRow="1" firstDataRow="1" firstDataCol="1"/>
  <pivotFields count="15">
    <pivotField dataField="1" showAll="0"/>
    <pivotField showAll="0"/>
    <pivotField showAll="0"/>
    <pivotField showAll="0"/>
    <pivotField showAll="0"/>
    <pivotField showAll="0">
      <items count="3">
        <item x="0"/>
        <item x="1"/>
        <item t="default"/>
      </items>
    </pivotField>
    <pivotField showAll="0">
      <items count="6">
        <item x="3"/>
        <item x="0"/>
        <item x="2"/>
        <item x="4"/>
        <item x="1"/>
        <item t="default"/>
      </items>
    </pivotField>
    <pivotField showAll="0">
      <items count="8">
        <item x="2"/>
        <item x="4"/>
        <item x="6"/>
        <item x="5"/>
        <item x="0"/>
        <item x="3"/>
        <item x="1"/>
        <item t="default"/>
      </items>
    </pivotField>
    <pivotField showAll="0"/>
    <pivotField showAll="0">
      <items count="7">
        <item x="2"/>
        <item x="4"/>
        <item x="0"/>
        <item x="5"/>
        <item x="3"/>
        <item x="1"/>
        <item t="default"/>
      </items>
    </pivotField>
    <pivotField showAll="0"/>
    <pivotField numFmtId="44" showAll="0"/>
    <pivotField numFmtId="44" showAll="0"/>
    <pivotField showAll="0">
      <items count="4">
        <item x="2"/>
        <item x="0"/>
        <item x="1"/>
        <item t="default"/>
      </items>
    </pivotField>
    <pivotField axis="axisRow" showAll="0">
      <items count="4">
        <item x="0"/>
        <item x="1"/>
        <item x="2"/>
        <item t="default"/>
      </items>
    </pivotField>
  </pivotFields>
  <rowFields count="1">
    <field x="14"/>
  </rowFields>
  <rowItems count="4">
    <i>
      <x/>
    </i>
    <i>
      <x v="1"/>
    </i>
    <i>
      <x v="2"/>
    </i>
    <i t="grand">
      <x/>
    </i>
  </rowItems>
  <colItems count="1">
    <i/>
  </colItems>
  <dataFields count="1">
    <dataField name="Count of ID" fld="0" subtotal="count"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9051B7A-5D98-4515-9FC5-A73A14A11BC7}" name="PivotTable2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5:A16" firstHeaderRow="1" firstDataRow="1" firstDataCol="0"/>
  <pivotFields count="15">
    <pivotField showAll="0"/>
    <pivotField showAll="0"/>
    <pivotField showAll="0"/>
    <pivotField dataField="1" showAll="0"/>
    <pivotField showAll="0"/>
    <pivotField showAll="0">
      <items count="3">
        <item x="0"/>
        <item x="1"/>
        <item t="default"/>
      </items>
    </pivotField>
    <pivotField showAll="0"/>
    <pivotField showAll="0">
      <items count="8">
        <item x="2"/>
        <item x="4"/>
        <item x="6"/>
        <item x="5"/>
        <item x="0"/>
        <item x="3"/>
        <item x="1"/>
        <item t="default"/>
      </items>
    </pivotField>
    <pivotField showAll="0"/>
    <pivotField showAll="0"/>
    <pivotField showAll="0"/>
    <pivotField numFmtId="44" showAll="0"/>
    <pivotField numFmtId="44" showAll="0"/>
    <pivotField showAll="0">
      <items count="4">
        <item x="2"/>
        <item x="0"/>
        <item x="1"/>
        <item t="default"/>
      </items>
    </pivotField>
    <pivotField showAll="0"/>
  </pivotFields>
  <rowItems count="1">
    <i/>
  </rowItems>
  <colItems count="1">
    <i/>
  </colItems>
  <dataFields count="1">
    <dataField name="Average of Age" fld="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44C04DA-0C8D-464D-BC34-7DBDD22BA18D}"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6:B34" firstHeaderRow="1" firstDataRow="1" firstDataCol="1"/>
  <pivotFields count="15">
    <pivotField showAll="0"/>
    <pivotField showAll="0"/>
    <pivotField showAll="0"/>
    <pivotField showAll="0"/>
    <pivotField showAll="0"/>
    <pivotField showAll="0">
      <items count="3">
        <item x="0"/>
        <item x="1"/>
        <item t="default"/>
      </items>
    </pivotField>
    <pivotField showAll="0">
      <items count="6">
        <item x="3"/>
        <item x="0"/>
        <item x="2"/>
        <item x="4"/>
        <item x="1"/>
        <item t="default"/>
      </items>
    </pivotField>
    <pivotField axis="axisRow" showAll="0" sortType="ascending">
      <items count="8">
        <item x="2"/>
        <item x="4"/>
        <item x="6"/>
        <item x="5"/>
        <item x="0"/>
        <item x="3"/>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44" showAll="0"/>
    <pivotField dataField="1" numFmtId="44" showAll="0"/>
    <pivotField showAll="0">
      <items count="4">
        <item x="2"/>
        <item x="0"/>
        <item x="1"/>
        <item t="default"/>
      </items>
    </pivotField>
    <pivotField showAll="0"/>
  </pivotFields>
  <rowFields count="1">
    <field x="7"/>
  </rowFields>
  <rowItems count="8">
    <i>
      <x v="2"/>
    </i>
    <i>
      <x v="4"/>
    </i>
    <i>
      <x v="3"/>
    </i>
    <i>
      <x v="5"/>
    </i>
    <i>
      <x/>
    </i>
    <i>
      <x v="6"/>
    </i>
    <i>
      <x v="1"/>
    </i>
    <i t="grand">
      <x/>
    </i>
  </rowItems>
  <colItems count="1">
    <i/>
  </colItems>
  <dataFields count="1">
    <dataField name="Average of Salary" fld="12" subtotal="average" baseField="7"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78D7C2A-B743-48CF-8716-5EA60BF806EC}" name="PivotTable1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6:C42" firstHeaderRow="0" firstDataRow="1" firstDataCol="1"/>
  <pivotFields count="15">
    <pivotField dataField="1" showAll="0"/>
    <pivotField showAll="0"/>
    <pivotField showAll="0"/>
    <pivotField showAll="0"/>
    <pivotField showAll="0"/>
    <pivotField showAll="0">
      <items count="3">
        <item x="0"/>
        <item x="1"/>
        <item t="default"/>
      </items>
    </pivotField>
    <pivotField showAll="0">
      <items count="6">
        <item x="3"/>
        <item x="0"/>
        <item x="2"/>
        <item x="4"/>
        <item x="1"/>
        <item t="default"/>
      </items>
    </pivotField>
    <pivotField showAll="0" sortType="ascending">
      <items count="8">
        <item x="2"/>
        <item x="4"/>
        <item x="6"/>
        <item x="5"/>
        <item x="0"/>
        <item x="3"/>
        <item x="1"/>
        <item t="default"/>
      </items>
      <autoSortScope>
        <pivotArea dataOnly="0" outline="0" fieldPosition="0">
          <references count="1">
            <reference field="4294967294" count="1" selected="0">
              <x v="0"/>
            </reference>
          </references>
        </pivotArea>
      </autoSortScope>
    </pivotField>
    <pivotField showAll="0"/>
    <pivotField showAll="0"/>
    <pivotField axis="axisRow" showAll="0">
      <items count="6">
        <item x="3"/>
        <item x="2"/>
        <item x="1"/>
        <item x="0"/>
        <item x="4"/>
        <item t="default"/>
      </items>
    </pivotField>
    <pivotField numFmtId="44" showAll="0"/>
    <pivotField dataField="1" numFmtId="44" showAll="0"/>
    <pivotField showAll="0">
      <items count="4">
        <item x="2"/>
        <item x="0"/>
        <item x="1"/>
        <item t="default"/>
      </items>
    </pivotField>
    <pivotField showAll="0"/>
  </pivotFields>
  <rowFields count="1">
    <field x="10"/>
  </rowFields>
  <rowItems count="6">
    <i>
      <x/>
    </i>
    <i>
      <x v="1"/>
    </i>
    <i>
      <x v="2"/>
    </i>
    <i>
      <x v="3"/>
    </i>
    <i>
      <x v="4"/>
    </i>
    <i t="grand">
      <x/>
    </i>
  </rowItems>
  <colFields count="1">
    <field x="-2"/>
  </colFields>
  <colItems count="2">
    <i>
      <x/>
    </i>
    <i i="1">
      <x v="1"/>
    </i>
  </colItems>
  <dataFields count="2">
    <dataField name="Average of Salary" fld="12" subtotal="average" baseField="7" baseItem="0" numFmtId="44"/>
    <dataField name="Count of ID" fld="0" subtotal="count" baseField="1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DE8D8E6-6BE4-4059-8735-F2DCEF3C45EF}" name="PivotTable3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5:B108" firstHeaderRow="1" firstDataRow="1" firstDataCol="1"/>
  <pivotFields count="15">
    <pivotField showAll="0"/>
    <pivotField showAll="0"/>
    <pivotField showAll="0"/>
    <pivotField showAll="0"/>
    <pivotField showAll="0"/>
    <pivotField axis="axisRow" showAll="0">
      <items count="3">
        <item x="0"/>
        <item x="1"/>
        <item t="default"/>
      </items>
    </pivotField>
    <pivotField showAll="0">
      <items count="6">
        <item x="3"/>
        <item x="0"/>
        <item x="2"/>
        <item x="4"/>
        <item x="1"/>
        <item t="default"/>
      </items>
    </pivotField>
    <pivotField showAll="0">
      <items count="8">
        <item x="2"/>
        <item x="4"/>
        <item x="6"/>
        <item x="5"/>
        <item x="0"/>
        <item x="3"/>
        <item x="1"/>
        <item t="default"/>
      </items>
    </pivotField>
    <pivotField showAll="0"/>
    <pivotField showAll="0">
      <items count="7">
        <item x="2"/>
        <item x="4"/>
        <item x="0"/>
        <item x="5"/>
        <item x="3"/>
        <item x="1"/>
        <item t="default"/>
      </items>
    </pivotField>
    <pivotField showAll="0"/>
    <pivotField numFmtId="44" showAll="0"/>
    <pivotField dataField="1" numFmtId="44" showAll="0"/>
    <pivotField showAll="0">
      <items count="4">
        <item x="2"/>
        <item x="0"/>
        <item x="1"/>
        <item t="default"/>
      </items>
    </pivotField>
    <pivotField showAll="0">
      <items count="4">
        <item x="0"/>
        <item x="1"/>
        <item x="2"/>
        <item t="default"/>
      </items>
    </pivotField>
  </pivotFields>
  <rowFields count="1">
    <field x="5"/>
  </rowFields>
  <rowItems count="3">
    <i>
      <x/>
    </i>
    <i>
      <x v="1"/>
    </i>
    <i t="grand">
      <x/>
    </i>
  </rowItems>
  <colItems count="1">
    <i/>
  </colItems>
  <dataFields count="1">
    <dataField name="Average of Salary" fld="12" subtotal="average" baseField="5"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AE19AAD-D579-494C-9016-963B264EB77C}"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5">
    <pivotField showAll="0"/>
    <pivotField showAll="0"/>
    <pivotField showAll="0"/>
    <pivotField showAll="0"/>
    <pivotField showAll="0"/>
    <pivotField showAll="0">
      <items count="3">
        <item x="0"/>
        <item x="1"/>
        <item t="default"/>
      </items>
    </pivotField>
    <pivotField showAll="0"/>
    <pivotField showAll="0">
      <items count="8">
        <item x="2"/>
        <item x="4"/>
        <item x="6"/>
        <item x="5"/>
        <item x="0"/>
        <item x="3"/>
        <item x="1"/>
        <item t="default"/>
      </items>
    </pivotField>
    <pivotField showAll="0"/>
    <pivotField showAll="0"/>
    <pivotField showAll="0"/>
    <pivotField numFmtId="44" showAll="0"/>
    <pivotField dataField="1" numFmtId="44" showAll="0"/>
    <pivotField showAll="0">
      <items count="4">
        <item x="2"/>
        <item x="0"/>
        <item x="1"/>
        <item t="default"/>
      </items>
    </pivotField>
    <pivotField showAll="0"/>
  </pivotFields>
  <rowItems count="1">
    <i/>
  </rowItems>
  <colItems count="1">
    <i/>
  </colItems>
  <dataFields count="1">
    <dataField name="Sum of Salary" fld="12" baseField="0"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CBC38B6-836E-4228-A686-5B1C72261A75}" name="PivotTable2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1:D96" firstHeaderRow="1" firstDataRow="2" firstDataCol="1"/>
  <pivotFields count="15">
    <pivotField dataField="1" showAll="0"/>
    <pivotField showAll="0"/>
    <pivotField showAll="0"/>
    <pivotField showAll="0"/>
    <pivotField showAll="0"/>
    <pivotField axis="axisCol" showAll="0">
      <items count="3">
        <item x="0"/>
        <item x="1"/>
        <item t="default"/>
      </items>
    </pivotField>
    <pivotField showAll="0">
      <items count="6">
        <item x="3"/>
        <item x="0"/>
        <item x="2"/>
        <item x="4"/>
        <item x="1"/>
        <item t="default"/>
      </items>
    </pivotField>
    <pivotField showAll="0">
      <items count="8">
        <item x="2"/>
        <item x="4"/>
        <item x="6"/>
        <item x="5"/>
        <item x="0"/>
        <item x="3"/>
        <item x="1"/>
        <item t="default"/>
      </items>
    </pivotField>
    <pivotField showAll="0"/>
    <pivotField showAll="0">
      <items count="7">
        <item x="2"/>
        <item x="4"/>
        <item x="0"/>
        <item x="5"/>
        <item x="3"/>
        <item x="1"/>
        <item t="default"/>
      </items>
    </pivotField>
    <pivotField showAll="0"/>
    <pivotField numFmtId="44" showAll="0"/>
    <pivotField numFmtId="44" showAll="0"/>
    <pivotField axis="axisRow" showAll="0">
      <items count="4">
        <item x="2"/>
        <item x="0"/>
        <item x="1"/>
        <item t="default"/>
      </items>
    </pivotField>
    <pivotField showAll="0"/>
  </pivotFields>
  <rowFields count="1">
    <field x="13"/>
  </rowFields>
  <rowItems count="4">
    <i>
      <x/>
    </i>
    <i>
      <x v="1"/>
    </i>
    <i>
      <x v="2"/>
    </i>
    <i t="grand">
      <x/>
    </i>
  </rowItems>
  <colFields count="1">
    <field x="5"/>
  </colFields>
  <colItems count="3">
    <i>
      <x/>
    </i>
    <i>
      <x v="1"/>
    </i>
    <i t="grand">
      <x/>
    </i>
  </colItems>
  <dataFields count="1">
    <dataField name="Count of ID" fld="0" subtotal="count"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FA2131D-091A-4A44-9F2B-FF5971B51E7E}" name="PivotTable2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7:E86" firstHeaderRow="1" firstDataRow="2" firstDataCol="1"/>
  <pivotFields count="15">
    <pivotField dataField="1" showAll="0"/>
    <pivotField showAll="0"/>
    <pivotField showAll="0"/>
    <pivotField showAll="0"/>
    <pivotField showAll="0"/>
    <pivotField showAll="0">
      <items count="3">
        <item x="0"/>
        <item x="1"/>
        <item t="default"/>
      </items>
    </pivotField>
    <pivotField showAll="0">
      <items count="6">
        <item x="3"/>
        <item x="0"/>
        <item x="2"/>
        <item x="4"/>
        <item x="1"/>
        <item t="default"/>
      </items>
    </pivotField>
    <pivotField axis="axisRow" showAll="0" sortType="ascending">
      <items count="8">
        <item x="2"/>
        <item x="4"/>
        <item x="6"/>
        <item x="5"/>
        <item x="0"/>
        <item x="3"/>
        <item x="1"/>
        <item t="default"/>
      </items>
      <autoSortScope>
        <pivotArea dataOnly="0" outline="0" fieldPosition="0">
          <references count="1">
            <reference field="4294967294" count="1" selected="0">
              <x v="0"/>
            </reference>
          </references>
        </pivotArea>
      </autoSortScope>
    </pivotField>
    <pivotField showAll="0"/>
    <pivotField showAll="0">
      <items count="7">
        <item x="2"/>
        <item x="4"/>
        <item x="0"/>
        <item x="5"/>
        <item x="3"/>
        <item x="1"/>
        <item t="default"/>
      </items>
    </pivotField>
    <pivotField showAll="0"/>
    <pivotField numFmtId="44" showAll="0"/>
    <pivotField numFmtId="44" showAll="0"/>
    <pivotField axis="axisCol" showAll="0" sortType="ascending">
      <items count="4">
        <item x="2"/>
        <item x="0"/>
        <item x="1"/>
        <item t="default"/>
      </items>
    </pivotField>
    <pivotField showAll="0"/>
  </pivotFields>
  <rowFields count="1">
    <field x="7"/>
  </rowFields>
  <rowItems count="8">
    <i>
      <x v="3"/>
    </i>
    <i>
      <x v="2"/>
    </i>
    <i>
      <x v="1"/>
    </i>
    <i>
      <x v="4"/>
    </i>
    <i>
      <x v="5"/>
    </i>
    <i>
      <x/>
    </i>
    <i>
      <x v="6"/>
    </i>
    <i t="grand">
      <x/>
    </i>
  </rowItems>
  <colFields count="1">
    <field x="13"/>
  </colFields>
  <colItems count="4">
    <i>
      <x/>
    </i>
    <i>
      <x v="1"/>
    </i>
    <i>
      <x v="2"/>
    </i>
    <i t="grand">
      <x/>
    </i>
  </colItems>
  <dataFields count="1">
    <dataField name="Count of ID" fld="0" subtotal="count" baseField="1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75B6B64-1E80-40E5-B1BF-B0B73DD68431}" name="PivotTable6"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A10" firstHeaderRow="1" firstDataRow="1" firstDataCol="0"/>
  <pivotFields count="15">
    <pivotField showAll="0"/>
    <pivotField showAll="0"/>
    <pivotField showAll="0"/>
    <pivotField showAll="0"/>
    <pivotField showAll="0"/>
    <pivotField showAll="0">
      <items count="3">
        <item x="0"/>
        <item x="1"/>
        <item t="default"/>
      </items>
    </pivotField>
    <pivotField showAll="0"/>
    <pivotField showAll="0">
      <items count="8">
        <item x="2"/>
        <item x="4"/>
        <item x="6"/>
        <item x="5"/>
        <item x="0"/>
        <item x="3"/>
        <item x="1"/>
        <item t="default"/>
      </items>
    </pivotField>
    <pivotField showAll="0"/>
    <pivotField showAll="0"/>
    <pivotField showAll="0"/>
    <pivotField dataField="1" numFmtId="44" showAll="0"/>
    <pivotField numFmtId="44" showAll="0"/>
    <pivotField showAll="0">
      <items count="4">
        <item x="2"/>
        <item x="0"/>
        <item x="1"/>
        <item t="default"/>
      </items>
    </pivotField>
    <pivotField showAll="0"/>
  </pivotFields>
  <rowItems count="1">
    <i/>
  </rowItems>
  <colItems count="1">
    <i/>
  </colItems>
  <dataFields count="1">
    <dataField name="Average of FTE Salary" fld="11" subtotal="average" baseField="0"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3AD969A-C5BA-4E7F-B45A-2EE663C068E3}" name="PivotTable1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2:B69" firstHeaderRow="1" firstDataRow="1" firstDataCol="1"/>
  <pivotFields count="15">
    <pivotField dataField="1" showAll="0"/>
    <pivotField showAll="0"/>
    <pivotField showAll="0"/>
    <pivotField showAll="0"/>
    <pivotField showAll="0"/>
    <pivotField showAll="0">
      <items count="3">
        <item x="0"/>
        <item x="1"/>
        <item t="default"/>
      </items>
    </pivotField>
    <pivotField showAll="0">
      <items count="6">
        <item x="3"/>
        <item x="0"/>
        <item x="2"/>
        <item x="4"/>
        <item x="1"/>
        <item t="default"/>
      </items>
    </pivotField>
    <pivotField showAll="0">
      <items count="8">
        <item x="2"/>
        <item x="4"/>
        <item x="6"/>
        <item x="5"/>
        <item x="0"/>
        <item x="3"/>
        <item x="1"/>
        <item t="default"/>
      </items>
    </pivotField>
    <pivotField showAll="0"/>
    <pivotField axis="axisRow" showAll="0">
      <items count="7">
        <item x="2"/>
        <item x="4"/>
        <item x="0"/>
        <item x="5"/>
        <item x="3"/>
        <item x="1"/>
        <item t="default"/>
      </items>
    </pivotField>
    <pivotField showAll="0"/>
    <pivotField numFmtId="44" showAll="0"/>
    <pivotField numFmtId="44" showAll="0"/>
    <pivotField showAll="0">
      <items count="4">
        <item x="2"/>
        <item x="0"/>
        <item x="1"/>
        <item t="default"/>
      </items>
    </pivotField>
    <pivotField showAll="0"/>
  </pivotFields>
  <rowFields count="1">
    <field x="9"/>
  </rowFields>
  <rowItems count="7">
    <i>
      <x/>
    </i>
    <i>
      <x v="1"/>
    </i>
    <i>
      <x v="2"/>
    </i>
    <i>
      <x v="3"/>
    </i>
    <i>
      <x v="4"/>
    </i>
    <i>
      <x v="5"/>
    </i>
    <i t="grand">
      <x/>
    </i>
  </rowItems>
  <colItems count="1">
    <i/>
  </colItems>
  <dataFields count="1">
    <dataField name="Count of ID" fld="0" subtotal="count"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6D53681-D1D9-4A38-832A-C98D5800D360}" sourceName="Gender">
  <pivotTables>
    <pivotTable tabId="2" name="PivotTable1"/>
    <pivotTable tabId="2" name="PivotTable10"/>
    <pivotTable tabId="2" name="PivotTable12"/>
    <pivotTable tabId="2" name="PivotTable14"/>
    <pivotTable tabId="2" name="PivotTable17"/>
    <pivotTable tabId="2" name="PivotTable19"/>
    <pivotTable tabId="2" name="PivotTable21"/>
    <pivotTable tabId="2" name="PivotTable23"/>
    <pivotTable tabId="2" name="PivotTable25"/>
    <pivotTable tabId="2" name="PivotTable29"/>
    <pivotTable tabId="2" name="PivotTable3"/>
    <pivotTable tabId="2" name="PivotTable31"/>
    <pivotTable tabId="2" name="PivotTable33"/>
    <pivotTable tabId="2" name="PivotTable35"/>
    <pivotTable tabId="2" name="PivotTable6"/>
    <pivotTable tabId="2" name="PivotTable8"/>
  </pivotTables>
  <data>
    <tabular pivotCacheId="150868690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AF2719F1-F949-45F0-B45C-05EF0E4A7971}" sourceName="Department">
  <pivotTables>
    <pivotTable tabId="2" name="PivotTable1"/>
    <pivotTable tabId="2" name="PivotTable10"/>
    <pivotTable tabId="2" name="PivotTable12"/>
    <pivotTable tabId="2" name="PivotTable14"/>
    <pivotTable tabId="2" name="PivotTable17"/>
    <pivotTable tabId="2" name="PivotTable19"/>
    <pivotTable tabId="2" name="PivotTable21"/>
    <pivotTable tabId="2" name="PivotTable23"/>
    <pivotTable tabId="2" name="PivotTable25"/>
    <pivotTable tabId="2" name="PivotTable29"/>
    <pivotTable tabId="2" name="PivotTable3"/>
    <pivotTable tabId="2" name="PivotTable31"/>
    <pivotTable tabId="2" name="PivotTable33"/>
    <pivotTable tabId="2" name="PivotTable35"/>
    <pivotTable tabId="2" name="PivotTable6"/>
    <pivotTable tabId="2" name="PivotTable8"/>
  </pivotTables>
  <data>
    <tabular pivotCacheId="1508686902">
      <items count="7">
        <i x="2" s="1"/>
        <i x="4" s="1"/>
        <i x="6" s="1"/>
        <i x="5"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 xr10:uid="{C8B50D7D-7C38-4C26-B423-3063FE4F911E}" sourceName="Performance">
  <pivotTables>
    <pivotTable tabId="2" name="PivotTable1"/>
    <pivotTable tabId="2" name="PivotTable10"/>
    <pivotTable tabId="2" name="PivotTable12"/>
    <pivotTable tabId="2" name="PivotTable14"/>
    <pivotTable tabId="2" name="PivotTable17"/>
    <pivotTable tabId="2" name="PivotTable19"/>
    <pivotTable tabId="2" name="PivotTable21"/>
    <pivotTable tabId="2" name="PivotTable23"/>
    <pivotTable tabId="2" name="PivotTable29"/>
    <pivotTable tabId="2" name="PivotTable3"/>
    <pivotTable tabId="2" name="PivotTable31"/>
    <pivotTable tabId="2" name="PivotTable33"/>
    <pivotTable tabId="2" name="PivotTable35"/>
    <pivotTable tabId="2" name="PivotTable6"/>
    <pivotTable tabId="2" name="PivotTable8"/>
  </pivotTables>
  <data>
    <tabular pivotCacheId="1508686902">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CE63BA63-335D-412E-9899-1C686A4C3B84}" cache="Slicer_Gender" caption="Gender" rowHeight="257175"/>
  <slicer name="Department" xr10:uid="{63CAE9A9-AF9F-4ECB-BA32-BDD6C51125A6}" cache="Slicer_Department" caption="Department" rowHeight="257175"/>
  <slicer name="Performance" xr10:uid="{CFDCB2D8-829A-41D9-87EE-51DA0DC539AC}" cache="Slicer_Performance" caption="Performance"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CC4029FF-3160-4194-A280-BCD9BC93959A}" cache="Slicer_Gender" caption="Gender" style="Slicer Style 1" rowHeight="257175"/>
  <slicer name="Department 1" xr10:uid="{96AC6DDD-ACFD-46DB-AD8B-28747676A3F9}" cache="Slicer_Department" caption="Department" style="Slicer Style 1" rowHeight="257175"/>
  <slicer name="Performance 1" xr10:uid="{979E92FA-DCE7-4587-A085-9297CE1F13E7}" cache="Slicer_Performance" caption="Performance"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47ABF4-88E7-49B6-9961-23DB8D5A7E03}" name="Table1" displayName="Table1" ref="A1:O836" totalsRowShown="0" headerRowDxfId="16" dataDxfId="15">
  <autoFilter ref="A1:O836" xr:uid="{1047ABF4-88E7-49B6-9961-23DB8D5A7E03}"/>
  <tableColumns count="15">
    <tableColumn id="1" xr3:uid="{78D7DF13-568D-47AE-A8F8-1CF0FA7C2665}" name="ID" dataDxfId="14"/>
    <tableColumn id="2" xr3:uid="{AF0C3208-5B51-4BB8-A632-C4B683100421}" name="Name" dataDxfId="13"/>
    <tableColumn id="3" xr3:uid="{05A3790F-0C21-448E-B701-9DA7A18E5EBE}" name="Surname" dataDxfId="12"/>
    <tableColumn id="4" xr3:uid="{EA49767F-2FE8-420E-BBA8-74D6BD65E5DC}" name="Age" dataDxfId="11"/>
    <tableColumn id="5" xr3:uid="{AC451BA4-48F4-4053-BB8F-EBA29474FB28}" name="Tenure" dataDxfId="10"/>
    <tableColumn id="6" xr3:uid="{D2F71493-EC25-41EB-B9E4-525413F3B348}" name="Gender" dataDxfId="9"/>
    <tableColumn id="7" xr3:uid="{565434D5-5606-48FA-8928-A2171F5817EC}" name="Region" dataDxfId="8"/>
    <tableColumn id="8" xr3:uid="{EF74D371-4625-4929-BAA2-C304C400B62E}" name="Department" dataDxfId="7"/>
    <tableColumn id="9" xr3:uid="{15642060-0FA6-45D1-8FD0-D63CEF8A26F4}" name="Manager" dataDxfId="6"/>
    <tableColumn id="10" xr3:uid="{9D43C659-0DCF-450C-8EFE-EFA32D1BB35B}" name="Hours" dataDxfId="5"/>
    <tableColumn id="11" xr3:uid="{4900250D-153B-4945-9357-A249CBBFCDC6}" name="Salary Band" dataDxfId="4"/>
    <tableColumn id="12" xr3:uid="{7CD70C6F-43F7-4663-9912-9C25150F740B}" name="FTE Salary" dataDxfId="3"/>
    <tableColumn id="13" xr3:uid="{ADF19FA7-05CC-4E5C-943C-B7E824DB271A}" name="Salary" dataDxfId="2"/>
    <tableColumn id="14" xr3:uid="{0960CBAC-2D60-418C-8FCF-ADFF50FDCEFB}" name="Performance" dataDxfId="1"/>
    <tableColumn id="15" xr3:uid="{789F7431-4BF2-4857-89A9-DED3ED3BFD86}" name="Age Group" dataDxfId="0">
      <calculatedColumnFormula array="1">_xlfn.IFS(Table1[[#This Row],[Age]]&lt;25,"Young",Table1[[#This Row],[Age]]&lt;45,"Adult",Table1[[#This Row],[Age]]&gt;=45,"Old")</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1.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8A6C9-5934-4DB1-AF0B-1C24B0D38362}">
  <sheetPr codeName="Sheet1"/>
  <dimension ref="A3:K115"/>
  <sheetViews>
    <sheetView tabSelected="1" topLeftCell="A52" zoomScale="80" zoomScaleNormal="80" workbookViewId="0">
      <selection activeCell="C7" sqref="C7"/>
    </sheetView>
  </sheetViews>
  <sheetFormatPr defaultRowHeight="15" x14ac:dyDescent="0.25"/>
  <cols>
    <col min="1" max="1" width="14.140625" bestFit="1" customWidth="1"/>
    <col min="2" max="2" width="16.28515625" bestFit="1" customWidth="1"/>
    <col min="3" max="3" width="5.5703125" bestFit="1" customWidth="1"/>
    <col min="4" max="5" width="11.28515625" bestFit="1" customWidth="1"/>
    <col min="6" max="6" width="13.42578125" bestFit="1" customWidth="1"/>
    <col min="7" max="7" width="25.5703125" bestFit="1" customWidth="1"/>
    <col min="8" max="9" width="13.42578125" bestFit="1" customWidth="1"/>
  </cols>
  <sheetData>
    <row r="3" spans="1:3" x14ac:dyDescent="0.25">
      <c r="A3" t="s">
        <v>956</v>
      </c>
      <c r="C3" t="s">
        <v>961</v>
      </c>
    </row>
    <row r="4" spans="1:3" x14ac:dyDescent="0.25">
      <c r="A4" s="4">
        <v>65262833.45000001</v>
      </c>
      <c r="C4" s="2">
        <f>GETPIVOTDATA("Salary",$A$3)</f>
        <v>65262833.45000001</v>
      </c>
    </row>
    <row r="6" spans="1:3" x14ac:dyDescent="0.25">
      <c r="A6" t="s">
        <v>957</v>
      </c>
      <c r="C6" t="s">
        <v>962</v>
      </c>
    </row>
    <row r="7" spans="1:3" x14ac:dyDescent="0.25">
      <c r="A7" s="4">
        <v>78159.081976047921</v>
      </c>
      <c r="C7" s="2">
        <f>GETPIVOTDATA("Salary",A6)</f>
        <v>78159.081976047921</v>
      </c>
    </row>
    <row r="9" spans="1:3" x14ac:dyDescent="0.25">
      <c r="A9" t="s">
        <v>958</v>
      </c>
      <c r="C9" t="s">
        <v>963</v>
      </c>
    </row>
    <row r="10" spans="1:3" x14ac:dyDescent="0.25">
      <c r="A10" s="4">
        <v>103062.73173652694</v>
      </c>
      <c r="C10" s="2">
        <f>GETPIVOTDATA("FTE Salary",A9)</f>
        <v>103062.73173652694</v>
      </c>
    </row>
    <row r="11" spans="1:3" x14ac:dyDescent="0.25">
      <c r="A11" s="4"/>
      <c r="C11" s="4"/>
    </row>
    <row r="12" spans="1:3" x14ac:dyDescent="0.25">
      <c r="A12" t="s">
        <v>964</v>
      </c>
      <c r="C12" s="4" t="s">
        <v>966</v>
      </c>
    </row>
    <row r="13" spans="1:3" x14ac:dyDescent="0.25">
      <c r="A13">
        <v>835</v>
      </c>
      <c r="C13" s="8">
        <f>GETPIVOTDATA("ID",$A$12)</f>
        <v>835</v>
      </c>
    </row>
    <row r="14" spans="1:3" x14ac:dyDescent="0.25">
      <c r="C14" s="8"/>
    </row>
    <row r="15" spans="1:3" x14ac:dyDescent="0.25">
      <c r="A15" t="s">
        <v>967</v>
      </c>
      <c r="C15" s="8" t="s">
        <v>967</v>
      </c>
    </row>
    <row r="16" spans="1:3" x14ac:dyDescent="0.25">
      <c r="A16">
        <v>41.937724550898203</v>
      </c>
      <c r="C16" s="8">
        <f>GETPIVOTDATA("Age",A15)</f>
        <v>41.937724550898203</v>
      </c>
    </row>
    <row r="17" spans="1:5" x14ac:dyDescent="0.25">
      <c r="C17" s="4"/>
    </row>
    <row r="18" spans="1:5" x14ac:dyDescent="0.25">
      <c r="A18" s="6" t="s">
        <v>959</v>
      </c>
      <c r="B18" t="s">
        <v>956</v>
      </c>
      <c r="D18" t="s">
        <v>6</v>
      </c>
      <c r="E18" t="s">
        <v>956</v>
      </c>
    </row>
    <row r="19" spans="1:5" x14ac:dyDescent="0.25">
      <c r="A19" s="7" t="s">
        <v>45</v>
      </c>
      <c r="B19" s="4">
        <v>12463413.799999999</v>
      </c>
      <c r="D19" t="s">
        <v>45</v>
      </c>
      <c r="E19" s="10">
        <f>GETPIVOTDATA("Salary",$A$18,"Region","Midwest")</f>
        <v>12463413.799999999</v>
      </c>
    </row>
    <row r="20" spans="1:5" x14ac:dyDescent="0.25">
      <c r="A20" s="7" t="s">
        <v>16</v>
      </c>
      <c r="B20" s="4">
        <v>14067140.25</v>
      </c>
      <c r="D20" t="s">
        <v>16</v>
      </c>
      <c r="E20" s="10">
        <f>GETPIVOTDATA("Salary",$A$18,"Region","Northeast")</f>
        <v>14067140.25</v>
      </c>
    </row>
    <row r="21" spans="1:5" x14ac:dyDescent="0.25">
      <c r="A21" s="7" t="s">
        <v>35</v>
      </c>
      <c r="B21" s="4">
        <v>11099567.5</v>
      </c>
      <c r="D21" t="s">
        <v>35</v>
      </c>
      <c r="E21" s="10">
        <f>GETPIVOTDATA("Salary",$A$18,"Region","Southeast")</f>
        <v>11099567.5</v>
      </c>
    </row>
    <row r="22" spans="1:5" x14ac:dyDescent="0.25">
      <c r="A22" s="7" t="s">
        <v>50</v>
      </c>
      <c r="B22" s="4">
        <v>11667711.399999999</v>
      </c>
      <c r="D22" t="s">
        <v>50</v>
      </c>
      <c r="E22" s="10">
        <f>GETPIVOTDATA("Salary",$A$18,"Region","Southwest")</f>
        <v>11667711.399999999</v>
      </c>
    </row>
    <row r="23" spans="1:5" x14ac:dyDescent="0.25">
      <c r="A23" s="7" t="s">
        <v>23</v>
      </c>
      <c r="B23" s="4">
        <v>15965000.499999998</v>
      </c>
      <c r="D23" t="s">
        <v>23</v>
      </c>
      <c r="E23" s="10">
        <f>GETPIVOTDATA("Salary",$A$18,"Region","West")</f>
        <v>15965000.499999998</v>
      </c>
    </row>
    <row r="24" spans="1:5" x14ac:dyDescent="0.25">
      <c r="A24" s="7" t="s">
        <v>960</v>
      </c>
      <c r="B24" s="4">
        <v>65262833.449999996</v>
      </c>
      <c r="D24" t="s">
        <v>960</v>
      </c>
      <c r="E24" s="10">
        <v>65262833.449999996</v>
      </c>
    </row>
    <row r="26" spans="1:5" x14ac:dyDescent="0.25">
      <c r="A26" s="6" t="s">
        <v>959</v>
      </c>
      <c r="B26" t="s">
        <v>957</v>
      </c>
      <c r="D26" t="s">
        <v>7</v>
      </c>
      <c r="E26" t="s">
        <v>957</v>
      </c>
    </row>
    <row r="27" spans="1:5" x14ac:dyDescent="0.25">
      <c r="A27" s="7" t="s">
        <v>192</v>
      </c>
      <c r="B27" s="4">
        <v>64948.841379310339</v>
      </c>
      <c r="D27" t="s">
        <v>192</v>
      </c>
      <c r="E27" s="10">
        <f>GETPIVOTDATA("Salary",$A$26,"Department","Human Resources")</f>
        <v>64948.841379310339</v>
      </c>
    </row>
    <row r="28" spans="1:5" x14ac:dyDescent="0.25">
      <c r="A28" s="7" t="s">
        <v>17</v>
      </c>
      <c r="B28" s="4">
        <v>68745.501136363629</v>
      </c>
      <c r="D28" t="s">
        <v>17</v>
      </c>
      <c r="E28" s="10">
        <f>GETPIVOTDATA("Salary",$A$26,"Department","Marketing")</f>
        <v>68745.501136363629</v>
      </c>
    </row>
    <row r="29" spans="1:5" x14ac:dyDescent="0.25">
      <c r="A29" s="7" t="s">
        <v>119</v>
      </c>
      <c r="B29" s="4">
        <v>74719.622499999998</v>
      </c>
      <c r="D29" t="s">
        <v>119</v>
      </c>
      <c r="E29" s="10">
        <f>GETPIVOTDATA("Salary",$A$26,"Department","Leadership")</f>
        <v>74719.622499999998</v>
      </c>
    </row>
    <row r="30" spans="1:5" x14ac:dyDescent="0.25">
      <c r="A30" s="7" t="s">
        <v>36</v>
      </c>
      <c r="B30" s="4">
        <v>75952.035467980284</v>
      </c>
      <c r="D30" t="s">
        <v>36</v>
      </c>
      <c r="E30" s="10">
        <f>GETPIVOTDATA("Salary",$A$26,"Department","Operations and production")</f>
        <v>75952.035467980284</v>
      </c>
    </row>
    <row r="31" spans="1:5" x14ac:dyDescent="0.25">
      <c r="A31" s="7" t="s">
        <v>32</v>
      </c>
      <c r="B31" s="4">
        <v>80851.55179372197</v>
      </c>
      <c r="D31" t="s">
        <v>32</v>
      </c>
      <c r="E31" s="10">
        <f>GETPIVOTDATA("Salary",$A$26,"Department","Customer Support")</f>
        <v>80851.55179372197</v>
      </c>
    </row>
    <row r="32" spans="1:5" x14ac:dyDescent="0.25">
      <c r="A32" s="7" t="s">
        <v>24</v>
      </c>
      <c r="B32" s="4">
        <v>82041.083705357145</v>
      </c>
      <c r="D32" t="s">
        <v>24</v>
      </c>
      <c r="E32" s="10">
        <f>GETPIVOTDATA("Salary",$A$26,"Department","Sales")</f>
        <v>82041.083705357145</v>
      </c>
    </row>
    <row r="33" spans="1:9" x14ac:dyDescent="0.25">
      <c r="A33" s="7" t="s">
        <v>64</v>
      </c>
      <c r="B33" s="4">
        <v>83540.802083333328</v>
      </c>
      <c r="D33" t="s">
        <v>64</v>
      </c>
      <c r="E33" s="10">
        <f>GETPIVOTDATA("Salary",$A$26,"Department","Finance")</f>
        <v>83540.802083333328</v>
      </c>
    </row>
    <row r="34" spans="1:9" x14ac:dyDescent="0.25">
      <c r="A34" s="7" t="s">
        <v>960</v>
      </c>
      <c r="B34" s="4">
        <v>78159.081976047892</v>
      </c>
      <c r="D34" t="s">
        <v>960</v>
      </c>
      <c r="E34" s="10">
        <v>78159.081976047892</v>
      </c>
    </row>
    <row r="36" spans="1:9" x14ac:dyDescent="0.25">
      <c r="A36" s="6" t="s">
        <v>959</v>
      </c>
      <c r="B36" t="s">
        <v>957</v>
      </c>
      <c r="C36" t="s">
        <v>964</v>
      </c>
      <c r="E36" t="s">
        <v>10</v>
      </c>
      <c r="F36" s="10" t="s">
        <v>957</v>
      </c>
      <c r="G36" t="s">
        <v>966</v>
      </c>
    </row>
    <row r="37" spans="1:9" x14ac:dyDescent="0.25">
      <c r="A37" s="7" t="s">
        <v>42</v>
      </c>
      <c r="B37" s="4">
        <v>47911.78231292517</v>
      </c>
      <c r="C37">
        <v>147</v>
      </c>
      <c r="E37" t="s">
        <v>42</v>
      </c>
      <c r="F37" s="10">
        <f>GETPIVOTDATA("Salary",$A$36,"Salary Band","T1")</f>
        <v>47911.78231292517</v>
      </c>
      <c r="G37" s="8">
        <f>GETPIVOTDATA("ID",$A$36,"Salary Band","T1")</f>
        <v>147</v>
      </c>
    </row>
    <row r="38" spans="1:9" x14ac:dyDescent="0.25">
      <c r="A38" s="7" t="s">
        <v>37</v>
      </c>
      <c r="B38" s="4">
        <v>80784.322340425526</v>
      </c>
      <c r="C38">
        <v>235</v>
      </c>
      <c r="E38" t="s">
        <v>37</v>
      </c>
      <c r="F38" s="10">
        <f>GETPIVOTDATA("Salary",$A$36,"Salary Band","T2")</f>
        <v>80784.322340425526</v>
      </c>
      <c r="G38" s="8">
        <f>GETPIVOTDATA("ID",$A$36,"Salary Band","T2")</f>
        <v>235</v>
      </c>
    </row>
    <row r="39" spans="1:9" x14ac:dyDescent="0.25">
      <c r="A39" s="7" t="s">
        <v>25</v>
      </c>
      <c r="B39" s="4">
        <v>87429.026425855525</v>
      </c>
      <c r="C39">
        <v>263</v>
      </c>
      <c r="E39" t="s">
        <v>25</v>
      </c>
      <c r="F39" s="10">
        <f>GETPIVOTDATA("Salary",$A$36,"Salary Band","T3")</f>
        <v>87429.026425855525</v>
      </c>
      <c r="G39" s="8">
        <f>GETPIVOTDATA("ID",$A$36,"Salary Band","T3")</f>
        <v>263</v>
      </c>
    </row>
    <row r="40" spans="1:9" x14ac:dyDescent="0.25">
      <c r="A40" s="7" t="s">
        <v>19</v>
      </c>
      <c r="B40" s="4">
        <v>82522.401599999983</v>
      </c>
      <c r="C40">
        <v>125</v>
      </c>
      <c r="E40" t="s">
        <v>19</v>
      </c>
      <c r="F40" s="10">
        <f>GETPIVOTDATA("Salary",$A$36,"Salary Band","T4")</f>
        <v>82522.401599999983</v>
      </c>
      <c r="G40" s="8">
        <f>GETPIVOTDATA("ID",$A$36,"Salary Band","T4")</f>
        <v>125</v>
      </c>
    </row>
    <row r="41" spans="1:9" x14ac:dyDescent="0.25">
      <c r="A41" s="7" t="s">
        <v>52</v>
      </c>
      <c r="B41" s="4">
        <v>91174.639230769229</v>
      </c>
      <c r="C41">
        <v>65</v>
      </c>
      <c r="E41" t="s">
        <v>52</v>
      </c>
      <c r="F41" s="10">
        <f>GETPIVOTDATA("Salary",$A$36,"Salary Band","T5")</f>
        <v>91174.639230769229</v>
      </c>
      <c r="G41" s="8">
        <f>GETPIVOTDATA("ID",$A$36,"Salary Band","T5")</f>
        <v>65</v>
      </c>
    </row>
    <row r="42" spans="1:9" x14ac:dyDescent="0.25">
      <c r="A42" s="7" t="s">
        <v>960</v>
      </c>
      <c r="B42" s="4">
        <v>78159.081976047892</v>
      </c>
      <c r="C42">
        <v>835</v>
      </c>
      <c r="E42" t="s">
        <v>960</v>
      </c>
      <c r="F42" s="10">
        <v>78159.081976047892</v>
      </c>
      <c r="G42" s="8">
        <v>835</v>
      </c>
    </row>
    <row r="44" spans="1:9" x14ac:dyDescent="0.25">
      <c r="A44" s="6" t="s">
        <v>958</v>
      </c>
      <c r="B44" s="6" t="s">
        <v>965</v>
      </c>
    </row>
    <row r="45" spans="1:9" x14ac:dyDescent="0.25">
      <c r="A45" s="6" t="s">
        <v>959</v>
      </c>
      <c r="B45" t="s">
        <v>32</v>
      </c>
      <c r="C45" t="s">
        <v>64</v>
      </c>
      <c r="D45" t="s">
        <v>192</v>
      </c>
      <c r="E45" t="s">
        <v>119</v>
      </c>
      <c r="F45" t="s">
        <v>17</v>
      </c>
      <c r="G45" t="s">
        <v>36</v>
      </c>
      <c r="H45" t="s">
        <v>24</v>
      </c>
      <c r="I45" t="s">
        <v>960</v>
      </c>
    </row>
    <row r="46" spans="1:9" x14ac:dyDescent="0.25">
      <c r="A46" s="7" t="s">
        <v>45</v>
      </c>
      <c r="B46" s="4">
        <v>91995.695652173919</v>
      </c>
      <c r="C46" s="4">
        <v>120241.625</v>
      </c>
      <c r="D46" s="4">
        <v>98820</v>
      </c>
      <c r="E46" s="4">
        <v>130966.66666666667</v>
      </c>
      <c r="F46" s="4">
        <v>110147.26315789473</v>
      </c>
      <c r="G46" s="4">
        <v>91058.257142857139</v>
      </c>
      <c r="H46" s="4">
        <v>106582.33333333333</v>
      </c>
      <c r="I46" s="4">
        <v>101153.95808383233</v>
      </c>
    </row>
    <row r="47" spans="1:9" x14ac:dyDescent="0.25">
      <c r="A47" s="7" t="s">
        <v>16</v>
      </c>
      <c r="B47" s="4">
        <v>91553.888888888891</v>
      </c>
      <c r="C47" s="4">
        <v>126246.72727272728</v>
      </c>
      <c r="D47" s="4">
        <v>127884</v>
      </c>
      <c r="E47" s="4">
        <v>121552.33333333333</v>
      </c>
      <c r="F47" s="4">
        <v>116866.96</v>
      </c>
      <c r="G47" s="4">
        <v>99049.939393939392</v>
      </c>
      <c r="H47" s="4">
        <v>113609.84615384616</v>
      </c>
      <c r="I47" s="4">
        <v>107027.12666666666</v>
      </c>
    </row>
    <row r="48" spans="1:9" x14ac:dyDescent="0.25">
      <c r="A48" s="7" t="s">
        <v>35</v>
      </c>
      <c r="B48" s="4">
        <v>89659.81578947368</v>
      </c>
      <c r="C48" s="4">
        <v>125985</v>
      </c>
      <c r="D48" s="4">
        <v>112454</v>
      </c>
      <c r="E48" s="4">
        <v>124200</v>
      </c>
      <c r="F48" s="4">
        <v>107406.6</v>
      </c>
      <c r="G48" s="4">
        <v>92063.254545454547</v>
      </c>
      <c r="H48" s="4">
        <v>105422.5</v>
      </c>
      <c r="I48" s="4">
        <v>99026.329192546589</v>
      </c>
    </row>
    <row r="49" spans="1:9" x14ac:dyDescent="0.25">
      <c r="A49" s="7" t="s">
        <v>50</v>
      </c>
      <c r="B49" s="4">
        <v>91765.387755102041</v>
      </c>
      <c r="C49" s="4">
        <v>112436.54545454546</v>
      </c>
      <c r="D49" s="4">
        <v>98520</v>
      </c>
      <c r="E49" s="4">
        <v>126422.25</v>
      </c>
      <c r="F49" s="4">
        <v>108177.8</v>
      </c>
      <c r="G49" s="4">
        <v>90187.690476190473</v>
      </c>
      <c r="H49" s="4">
        <v>110236.77142857143</v>
      </c>
      <c r="I49" s="4">
        <v>99386.95</v>
      </c>
    </row>
    <row r="50" spans="1:9" x14ac:dyDescent="0.25">
      <c r="A50" s="7" t="s">
        <v>23</v>
      </c>
      <c r="B50" s="4">
        <v>100904.46296296296</v>
      </c>
      <c r="C50" s="4">
        <v>126599.5</v>
      </c>
      <c r="D50" s="4">
        <v>116081.09090909091</v>
      </c>
      <c r="E50" s="4">
        <v>128850</v>
      </c>
      <c r="F50" s="4">
        <v>121209.36842105263</v>
      </c>
      <c r="G50" s="4">
        <v>95776.736842105267</v>
      </c>
      <c r="H50" s="4">
        <v>111734.88524590163</v>
      </c>
      <c r="I50" s="4">
        <v>107946.44670050761</v>
      </c>
    </row>
    <row r="51" spans="1:9" x14ac:dyDescent="0.25">
      <c r="A51" s="7" t="s">
        <v>960</v>
      </c>
      <c r="B51" s="4">
        <v>93633.00448430494</v>
      </c>
      <c r="C51" s="4">
        <v>122110.91666666667</v>
      </c>
      <c r="D51" s="4">
        <v>112563.79310344828</v>
      </c>
      <c r="E51" s="4">
        <v>127207.3</v>
      </c>
      <c r="F51" s="4">
        <v>113797.53409090909</v>
      </c>
      <c r="G51" s="4">
        <v>93332.832512315275</v>
      </c>
      <c r="H51" s="4">
        <v>109583.27232142857</v>
      </c>
      <c r="I51" s="4">
        <v>103062.73173652694</v>
      </c>
    </row>
    <row r="53" spans="1:9" x14ac:dyDescent="0.25">
      <c r="A53" t="s">
        <v>958</v>
      </c>
      <c r="B53" t="s">
        <v>965</v>
      </c>
    </row>
    <row r="54" spans="1:9" x14ac:dyDescent="0.25">
      <c r="A54" t="s">
        <v>6</v>
      </c>
      <c r="B54" s="10" t="s">
        <v>32</v>
      </c>
      <c r="C54" s="10" t="s">
        <v>64</v>
      </c>
      <c r="D54" s="10" t="s">
        <v>192</v>
      </c>
      <c r="E54" s="10" t="s">
        <v>119</v>
      </c>
      <c r="F54" s="10" t="s">
        <v>17</v>
      </c>
      <c r="G54" s="10" t="s">
        <v>36</v>
      </c>
      <c r="H54" s="10" t="s">
        <v>24</v>
      </c>
      <c r="I54" s="4" t="s">
        <v>960</v>
      </c>
    </row>
    <row r="55" spans="1:9" x14ac:dyDescent="0.25">
      <c r="A55" t="s">
        <v>45</v>
      </c>
      <c r="B55" s="10">
        <f>GETPIVOTDATA("FTE Salary",$A$44,"Region","Midwest","Department","Customer Support")</f>
        <v>91995.695652173919</v>
      </c>
      <c r="C55" s="10">
        <f>GETPIVOTDATA("FTE Salary",$A$44,"Region","Midwest","Department","Finance")</f>
        <v>120241.625</v>
      </c>
      <c r="D55" s="10">
        <f>GETPIVOTDATA("FTE Salary",$A$44,"Region","Midwest","Department","Human Resources")</f>
        <v>98820</v>
      </c>
      <c r="E55" s="10">
        <f>GETPIVOTDATA("FTE Salary",$A$44,"Region","Midwest","Department","Leadership")</f>
        <v>130966.66666666667</v>
      </c>
      <c r="F55" s="10">
        <f>GETPIVOTDATA("FTE Salary",$A$44,"Region","Midwest","Department","Marketing")</f>
        <v>110147.26315789473</v>
      </c>
      <c r="G55" s="10">
        <f>GETPIVOTDATA("FTE Salary",$A$44,"Region","Midwest","Department","Operations and production")</f>
        <v>91058.257142857139</v>
      </c>
      <c r="H55" s="10">
        <f>GETPIVOTDATA("FTE Salary",$A$44,"Region","Midwest","Department","Sales")</f>
        <v>106582.33333333333</v>
      </c>
      <c r="I55" s="10">
        <v>101153.95808383233</v>
      </c>
    </row>
    <row r="56" spans="1:9" x14ac:dyDescent="0.25">
      <c r="A56" t="s">
        <v>16</v>
      </c>
      <c r="B56" s="10">
        <f>GETPIVOTDATA("FTE Salary",$A$44,"Region","Northeast","Department","Customer Support")</f>
        <v>91553.888888888891</v>
      </c>
      <c r="C56" s="10">
        <f>GETPIVOTDATA("FTE Salary",$A$44,"Region","Northeast","Department","Finance")</f>
        <v>126246.72727272728</v>
      </c>
      <c r="D56" s="10">
        <f>GETPIVOTDATA("FTE Salary",$A$44,"Region","Northeast","Department","Human Resources")</f>
        <v>127884</v>
      </c>
      <c r="E56" s="10">
        <f>GETPIVOTDATA("FTE Salary",$A$44,"Region","Northeast","Department","Leadership")</f>
        <v>121552.33333333333</v>
      </c>
      <c r="F56" s="10">
        <f>GETPIVOTDATA("FTE Salary",$A$44,"Region","Northeast","Department","Marketing")</f>
        <v>116866.96</v>
      </c>
      <c r="G56" s="10">
        <f>GETPIVOTDATA("FTE Salary",$A$44,"Region","Northeast","Department","Operations and production")</f>
        <v>99049.939393939392</v>
      </c>
      <c r="H56" s="10">
        <f>GETPIVOTDATA("FTE Salary",$A$44,"Region","Northeast","Department","Sales")</f>
        <v>113609.84615384616</v>
      </c>
      <c r="I56" s="10">
        <v>107027.12666666666</v>
      </c>
    </row>
    <row r="57" spans="1:9" x14ac:dyDescent="0.25">
      <c r="A57" t="s">
        <v>35</v>
      </c>
      <c r="B57" s="10">
        <f>GETPIVOTDATA("FTE Salary",$A$44,"Region","Southeast","Department","Customer Support")</f>
        <v>89659.81578947368</v>
      </c>
      <c r="C57" s="10">
        <f>GETPIVOTDATA("FTE Salary",$A$44,"Region","Southeast","Department","Finance")</f>
        <v>125985</v>
      </c>
      <c r="D57" s="10">
        <f>GETPIVOTDATA("FTE Salary",$A$44,"Region","Southeast","Department","Human Resources")</f>
        <v>112454</v>
      </c>
      <c r="E57" s="10">
        <f>GETPIVOTDATA("FTE Salary",$A$44,"Region","Southeast","Department","Leadership")</f>
        <v>124200</v>
      </c>
      <c r="F57" s="10">
        <f>GETPIVOTDATA("FTE Salary",$A$44,"Region","Southeast","Department","Marketing")</f>
        <v>107406.6</v>
      </c>
      <c r="G57" s="10">
        <f>GETPIVOTDATA("FTE Salary",$A$44,"Region","Southeast","Department","Operations and production")</f>
        <v>92063.254545454547</v>
      </c>
      <c r="H57" s="10">
        <f>GETPIVOTDATA("FTE Salary",$A$44,"Region","Southeast","Department","Sales")</f>
        <v>105422.5</v>
      </c>
      <c r="I57" s="10">
        <v>99026.329192546589</v>
      </c>
    </row>
    <row r="58" spans="1:9" x14ac:dyDescent="0.25">
      <c r="A58" t="s">
        <v>50</v>
      </c>
      <c r="B58" s="10">
        <f>GETPIVOTDATA("FTE Salary",$A$44,"Region","Southwest","Department","Customer Support")</f>
        <v>91765.387755102041</v>
      </c>
      <c r="C58" s="10">
        <f>GETPIVOTDATA("FTE Salary",$A$44,"Region","Southwest","Department","Finance")</f>
        <v>112436.54545454546</v>
      </c>
      <c r="D58" s="10">
        <f>GETPIVOTDATA("FTE Salary",$A$44,"Region","Southwest","Department","Human Resources")</f>
        <v>98520</v>
      </c>
      <c r="E58" s="10">
        <f>GETPIVOTDATA("FTE Salary",$A$44,"Region","Southwest","Department","Leadership")</f>
        <v>126422.25</v>
      </c>
      <c r="F58" s="10">
        <f>GETPIVOTDATA("FTE Salary",$A$44,"Region","Southwest","Department","Marketing")</f>
        <v>108177.8</v>
      </c>
      <c r="G58" s="10">
        <f>GETPIVOTDATA("FTE Salary",$A$44,"Region","Southwest","Department","Operations and production")</f>
        <v>90187.690476190473</v>
      </c>
      <c r="H58" s="10">
        <f>GETPIVOTDATA("FTE Salary",$A$44,"Region","Southwest","Department","Sales")</f>
        <v>110236.77142857143</v>
      </c>
      <c r="I58" s="10">
        <v>99386.95</v>
      </c>
    </row>
    <row r="59" spans="1:9" x14ac:dyDescent="0.25">
      <c r="A59" t="s">
        <v>23</v>
      </c>
      <c r="B59" s="10">
        <f>GETPIVOTDATA("FTE Salary",$A$44,"Region","West","Department","Customer Support")</f>
        <v>100904.46296296296</v>
      </c>
      <c r="C59" s="10">
        <f>GETPIVOTDATA("FTE Salary",$A$44,"Region","West","Department","Finance")</f>
        <v>126599.5</v>
      </c>
      <c r="D59" s="10">
        <f>GETPIVOTDATA("FTE Salary",$A$44,"Region","West","Department","Human Resources")</f>
        <v>116081.09090909091</v>
      </c>
      <c r="E59" s="10">
        <f>GETPIVOTDATA("FTE Salary",$A$44,"Region","West","Department","Leadership")</f>
        <v>128850</v>
      </c>
      <c r="F59" s="10">
        <f>GETPIVOTDATA("FTE Salary",$A$44,"Region","West","Department","Marketing")</f>
        <v>121209.36842105263</v>
      </c>
      <c r="G59" s="10">
        <f>GETPIVOTDATA("FTE Salary",$A$44,"Region","West","Department","Operations and production")</f>
        <v>95776.736842105267</v>
      </c>
      <c r="H59" s="10">
        <f>GETPIVOTDATA("FTE Salary",$A$44,"Region","West","Department","Sales")</f>
        <v>111734.88524590163</v>
      </c>
      <c r="I59" s="10">
        <v>107946.44670050761</v>
      </c>
    </row>
    <row r="60" spans="1:9" x14ac:dyDescent="0.25">
      <c r="A60" t="s">
        <v>960</v>
      </c>
      <c r="B60" s="10">
        <v>93633.00448430494</v>
      </c>
      <c r="C60" s="10">
        <v>122110.91666666667</v>
      </c>
      <c r="D60" s="10">
        <v>112563.79310344828</v>
      </c>
      <c r="E60" s="10">
        <v>127207.3</v>
      </c>
      <c r="F60" s="10">
        <v>113797.53409090909</v>
      </c>
      <c r="G60" s="10">
        <v>93332.832512315275</v>
      </c>
      <c r="H60" s="10">
        <v>109583.27232142857</v>
      </c>
      <c r="I60" s="10">
        <v>103062.73173652694</v>
      </c>
    </row>
    <row r="62" spans="1:9" x14ac:dyDescent="0.25">
      <c r="A62" s="6" t="s">
        <v>959</v>
      </c>
      <c r="B62" t="s">
        <v>964</v>
      </c>
      <c r="D62" t="s">
        <v>9</v>
      </c>
      <c r="E62" t="s">
        <v>964</v>
      </c>
    </row>
    <row r="63" spans="1:9" x14ac:dyDescent="0.25">
      <c r="A63" s="7">
        <v>8</v>
      </c>
      <c r="B63">
        <v>24</v>
      </c>
      <c r="D63">
        <v>8</v>
      </c>
      <c r="E63">
        <f>GETPIVOTDATA("ID",$A$62,"Hours","8")</f>
        <v>24</v>
      </c>
    </row>
    <row r="64" spans="1:9" x14ac:dyDescent="0.25">
      <c r="A64" s="7">
        <v>16</v>
      </c>
      <c r="B64">
        <v>56</v>
      </c>
      <c r="D64">
        <v>16</v>
      </c>
      <c r="E64">
        <f>GETPIVOTDATA("ID",$A$62,"Hours","16")</f>
        <v>56</v>
      </c>
    </row>
    <row r="65" spans="1:11" x14ac:dyDescent="0.25">
      <c r="A65" s="7">
        <v>20</v>
      </c>
      <c r="B65">
        <v>212</v>
      </c>
      <c r="D65">
        <v>20</v>
      </c>
      <c r="E65">
        <f>GETPIVOTDATA("ID",$A$62,"Hours","20")</f>
        <v>212</v>
      </c>
    </row>
    <row r="66" spans="1:11" x14ac:dyDescent="0.25">
      <c r="A66" s="7">
        <v>24</v>
      </c>
      <c r="B66">
        <v>64</v>
      </c>
      <c r="D66">
        <v>24</v>
      </c>
      <c r="E66">
        <f>GETPIVOTDATA("ID",$A$62,"Hours","24")</f>
        <v>64</v>
      </c>
    </row>
    <row r="67" spans="1:11" x14ac:dyDescent="0.25">
      <c r="A67" s="7">
        <v>32</v>
      </c>
      <c r="B67">
        <v>120</v>
      </c>
      <c r="D67">
        <v>32</v>
      </c>
      <c r="E67">
        <f>GETPIVOTDATA("ID",$A$62,"Hours","32")</f>
        <v>120</v>
      </c>
    </row>
    <row r="68" spans="1:11" x14ac:dyDescent="0.25">
      <c r="A68" s="7">
        <v>40</v>
      </c>
      <c r="B68">
        <v>359</v>
      </c>
      <c r="D68">
        <v>40</v>
      </c>
      <c r="E68">
        <f>GETPIVOTDATA("ID",$A$62,"Hours","40")</f>
        <v>359</v>
      </c>
    </row>
    <row r="69" spans="1:11" x14ac:dyDescent="0.25">
      <c r="A69" s="7" t="s">
        <v>960</v>
      </c>
      <c r="B69">
        <v>835</v>
      </c>
      <c r="D69" t="s">
        <v>960</v>
      </c>
      <c r="E69">
        <v>835</v>
      </c>
    </row>
    <row r="71" spans="1:11" x14ac:dyDescent="0.25">
      <c r="A71" s="6" t="s">
        <v>959</v>
      </c>
      <c r="B71" t="s">
        <v>964</v>
      </c>
      <c r="D71" t="s">
        <v>13</v>
      </c>
      <c r="E71" t="s">
        <v>964</v>
      </c>
    </row>
    <row r="72" spans="1:11" x14ac:dyDescent="0.25">
      <c r="A72" s="7" t="s">
        <v>29</v>
      </c>
      <c r="B72">
        <v>376</v>
      </c>
      <c r="D72" t="s">
        <v>29</v>
      </c>
      <c r="E72">
        <f>GETPIVOTDATA("ID",$A$71,"Performance","average")</f>
        <v>376</v>
      </c>
    </row>
    <row r="73" spans="1:11" x14ac:dyDescent="0.25">
      <c r="A73" s="7" t="s">
        <v>20</v>
      </c>
      <c r="B73">
        <v>244</v>
      </c>
      <c r="D73" t="s">
        <v>20</v>
      </c>
      <c r="E73">
        <f>GETPIVOTDATA("ID",$A$71,"Performance","bottom")</f>
        <v>244</v>
      </c>
    </row>
    <row r="74" spans="1:11" x14ac:dyDescent="0.25">
      <c r="A74" s="7" t="s">
        <v>26</v>
      </c>
      <c r="B74">
        <v>215</v>
      </c>
      <c r="D74" t="s">
        <v>26</v>
      </c>
      <c r="E74">
        <f>GETPIVOTDATA("ID",$A$71,"Performance","top")</f>
        <v>215</v>
      </c>
    </row>
    <row r="75" spans="1:11" x14ac:dyDescent="0.25">
      <c r="A75" s="7" t="s">
        <v>960</v>
      </c>
      <c r="B75">
        <v>835</v>
      </c>
      <c r="D75" t="s">
        <v>960</v>
      </c>
      <c r="E75">
        <v>835</v>
      </c>
    </row>
    <row r="77" spans="1:11" x14ac:dyDescent="0.25">
      <c r="A77" s="6" t="s">
        <v>964</v>
      </c>
      <c r="B77" s="6" t="s">
        <v>965</v>
      </c>
      <c r="G77" t="s">
        <v>964</v>
      </c>
      <c r="H77" t="s">
        <v>965</v>
      </c>
    </row>
    <row r="78" spans="1:11" x14ac:dyDescent="0.25">
      <c r="A78" s="6" t="s">
        <v>959</v>
      </c>
      <c r="B78" t="s">
        <v>29</v>
      </c>
      <c r="C78" t="s">
        <v>20</v>
      </c>
      <c r="D78" t="s">
        <v>26</v>
      </c>
      <c r="E78" t="s">
        <v>960</v>
      </c>
      <c r="G78" t="s">
        <v>959</v>
      </c>
      <c r="H78" t="s">
        <v>29</v>
      </c>
      <c r="I78" t="s">
        <v>20</v>
      </c>
      <c r="J78" t="s">
        <v>26</v>
      </c>
      <c r="K78" t="s">
        <v>960</v>
      </c>
    </row>
    <row r="79" spans="1:11" x14ac:dyDescent="0.25">
      <c r="A79" s="7" t="s">
        <v>119</v>
      </c>
      <c r="B79">
        <v>8</v>
      </c>
      <c r="C79">
        <v>8</v>
      </c>
      <c r="D79">
        <v>4</v>
      </c>
      <c r="E79">
        <v>20</v>
      </c>
      <c r="G79" t="s">
        <v>119</v>
      </c>
      <c r="H79">
        <f>GETPIVOTDATA("ID",$A$77,"Performance","average","Department","Leadership")</f>
        <v>8</v>
      </c>
      <c r="I79">
        <f>GETPIVOTDATA("ID",$A$77,"Performance","bottom","Department","Leadership")</f>
        <v>8</v>
      </c>
      <c r="J79">
        <f>GETPIVOTDATA("ID",$A$77,"Performance","top","Department","Leadership")</f>
        <v>4</v>
      </c>
      <c r="K79">
        <v>20</v>
      </c>
    </row>
    <row r="80" spans="1:11" x14ac:dyDescent="0.25">
      <c r="A80" s="7" t="s">
        <v>192</v>
      </c>
      <c r="B80">
        <v>19</v>
      </c>
      <c r="C80">
        <v>9</v>
      </c>
      <c r="D80">
        <v>1</v>
      </c>
      <c r="E80">
        <v>29</v>
      </c>
      <c r="G80" t="s">
        <v>192</v>
      </c>
      <c r="H80">
        <f>GETPIVOTDATA("ID",$A$77,"Performance","average","Department","Human Resources")</f>
        <v>19</v>
      </c>
      <c r="I80">
        <f>GETPIVOTDATA("ID",$A$77,"Performance","bottom","Department","Human Resources")</f>
        <v>9</v>
      </c>
      <c r="J80">
        <f>GETPIVOTDATA("ID",$A$77,"Performance","top","Department","Human Resources")</f>
        <v>1</v>
      </c>
      <c r="K80">
        <v>29</v>
      </c>
    </row>
    <row r="81" spans="1:11" x14ac:dyDescent="0.25">
      <c r="A81" s="7" t="s">
        <v>64</v>
      </c>
      <c r="B81">
        <v>18</v>
      </c>
      <c r="C81">
        <v>25</v>
      </c>
      <c r="D81">
        <v>5</v>
      </c>
      <c r="E81">
        <v>48</v>
      </c>
      <c r="G81" t="s">
        <v>64</v>
      </c>
      <c r="H81">
        <f>GETPIVOTDATA("ID",$A$77,"Performance","average","Department","Finance")</f>
        <v>18</v>
      </c>
      <c r="I81">
        <f>GETPIVOTDATA("ID",$A$77,"Performance","bottom","Department","Finance")</f>
        <v>25</v>
      </c>
      <c r="J81">
        <f>GETPIVOTDATA("ID",$A$77,"Performance","top","Department","Finance")</f>
        <v>5</v>
      </c>
      <c r="K81">
        <v>48</v>
      </c>
    </row>
    <row r="82" spans="1:11" x14ac:dyDescent="0.25">
      <c r="A82" s="7" t="s">
        <v>17</v>
      </c>
      <c r="B82">
        <v>38</v>
      </c>
      <c r="C82">
        <v>30</v>
      </c>
      <c r="D82">
        <v>20</v>
      </c>
      <c r="E82">
        <v>88</v>
      </c>
      <c r="G82" t="s">
        <v>17</v>
      </c>
      <c r="H82">
        <f>GETPIVOTDATA("ID",$A$77,"Performance","average","Department","Marketing")</f>
        <v>38</v>
      </c>
      <c r="I82">
        <f>GETPIVOTDATA("ID",$A$77,"Performance","bottom","Department","Marketing")</f>
        <v>30</v>
      </c>
      <c r="J82">
        <f>GETPIVOTDATA("ID",$A$77,"Performance","top","Department","Marketing")</f>
        <v>20</v>
      </c>
      <c r="K82">
        <v>88</v>
      </c>
    </row>
    <row r="83" spans="1:11" x14ac:dyDescent="0.25">
      <c r="A83" s="7" t="s">
        <v>36</v>
      </c>
      <c r="B83">
        <v>93</v>
      </c>
      <c r="C83">
        <v>63</v>
      </c>
      <c r="D83">
        <v>47</v>
      </c>
      <c r="E83">
        <v>203</v>
      </c>
      <c r="G83" t="s">
        <v>36</v>
      </c>
      <c r="H83">
        <f>GETPIVOTDATA("ID",$A$77,"Performance","average","Department","Operations and production")</f>
        <v>93</v>
      </c>
      <c r="I83">
        <f>GETPIVOTDATA("ID",$A$77,"Performance","bottom","Department","Operations and production")</f>
        <v>63</v>
      </c>
      <c r="J83">
        <f>GETPIVOTDATA("ID",$A$77,"Performance","top","Department","Operations and production")</f>
        <v>47</v>
      </c>
      <c r="K83">
        <v>203</v>
      </c>
    </row>
    <row r="84" spans="1:11" x14ac:dyDescent="0.25">
      <c r="A84" s="7" t="s">
        <v>32</v>
      </c>
      <c r="B84">
        <v>99</v>
      </c>
      <c r="C84">
        <v>58</v>
      </c>
      <c r="D84">
        <v>66</v>
      </c>
      <c r="E84">
        <v>223</v>
      </c>
      <c r="G84" t="s">
        <v>32</v>
      </c>
      <c r="H84">
        <f>GETPIVOTDATA("ID",$A$77,"Performance","average","Department","Customer Support")</f>
        <v>99</v>
      </c>
      <c r="I84">
        <f>GETPIVOTDATA("ID",$A$77,"Performance","bottom","Department","Customer Support")</f>
        <v>58</v>
      </c>
      <c r="J84">
        <f>GETPIVOTDATA("ID",$A$77,"Performance","top","Department","Customer Support")</f>
        <v>66</v>
      </c>
      <c r="K84">
        <v>223</v>
      </c>
    </row>
    <row r="85" spans="1:11" x14ac:dyDescent="0.25">
      <c r="A85" s="7" t="s">
        <v>24</v>
      </c>
      <c r="B85">
        <v>101</v>
      </c>
      <c r="C85">
        <v>51</v>
      </c>
      <c r="D85">
        <v>72</v>
      </c>
      <c r="E85">
        <v>224</v>
      </c>
      <c r="G85" t="s">
        <v>24</v>
      </c>
      <c r="H85">
        <f>GETPIVOTDATA("ID",$A$77,"Performance","average","Department","Sales")</f>
        <v>101</v>
      </c>
      <c r="I85">
        <f>GETPIVOTDATA("ID",$A$77,"Performance","bottom","Department","Sales")</f>
        <v>51</v>
      </c>
      <c r="J85">
        <f>GETPIVOTDATA("ID",$A$77,"Performance","top","Department","Sales")</f>
        <v>72</v>
      </c>
      <c r="K85">
        <v>224</v>
      </c>
    </row>
    <row r="86" spans="1:11" x14ac:dyDescent="0.25">
      <c r="A86" s="7" t="s">
        <v>960</v>
      </c>
      <c r="B86">
        <v>376</v>
      </c>
      <c r="C86">
        <v>244</v>
      </c>
      <c r="D86">
        <v>215</v>
      </c>
      <c r="E86">
        <v>835</v>
      </c>
      <c r="G86" t="s">
        <v>960</v>
      </c>
      <c r="H86">
        <v>376</v>
      </c>
      <c r="I86">
        <v>244</v>
      </c>
      <c r="J86">
        <v>215</v>
      </c>
      <c r="K86">
        <v>835</v>
      </c>
    </row>
    <row r="91" spans="1:11" x14ac:dyDescent="0.25">
      <c r="A91" s="6" t="s">
        <v>964</v>
      </c>
      <c r="B91" s="6" t="s">
        <v>965</v>
      </c>
      <c r="F91" t="s">
        <v>964</v>
      </c>
      <c r="G91" t="s">
        <v>965</v>
      </c>
    </row>
    <row r="92" spans="1:11" x14ac:dyDescent="0.25">
      <c r="A92" s="6" t="s">
        <v>959</v>
      </c>
      <c r="B92" t="s">
        <v>954</v>
      </c>
      <c r="C92" t="s">
        <v>953</v>
      </c>
      <c r="D92" t="s">
        <v>960</v>
      </c>
      <c r="F92" t="s">
        <v>959</v>
      </c>
      <c r="G92" t="s">
        <v>954</v>
      </c>
      <c r="H92" t="s">
        <v>953</v>
      </c>
      <c r="I92" t="s">
        <v>960</v>
      </c>
    </row>
    <row r="93" spans="1:11" x14ac:dyDescent="0.25">
      <c r="A93" s="7" t="s">
        <v>29</v>
      </c>
      <c r="B93">
        <v>173</v>
      </c>
      <c r="C93">
        <v>203</v>
      </c>
      <c r="D93">
        <v>376</v>
      </c>
      <c r="F93" t="s">
        <v>29</v>
      </c>
      <c r="G93">
        <f>GETPIVOTDATA("ID",$A$91,"Performance","average","Gender","Female")</f>
        <v>173</v>
      </c>
      <c r="H93">
        <f>GETPIVOTDATA("ID",$A$91,"Performance","average","Gender","Male")</f>
        <v>203</v>
      </c>
      <c r="I93">
        <v>376</v>
      </c>
    </row>
    <row r="94" spans="1:11" x14ac:dyDescent="0.25">
      <c r="A94" s="7" t="s">
        <v>20</v>
      </c>
      <c r="B94">
        <v>162</v>
      </c>
      <c r="C94">
        <v>82</v>
      </c>
      <c r="D94">
        <v>244</v>
      </c>
      <c r="F94" t="s">
        <v>20</v>
      </c>
      <c r="G94">
        <f>GETPIVOTDATA("ID",$A$91,"Performance","bottom","Gender","Female")</f>
        <v>162</v>
      </c>
      <c r="H94">
        <f>GETPIVOTDATA("ID",$A$91,"Performance","bottom","Gender","Male")</f>
        <v>82</v>
      </c>
      <c r="I94">
        <v>244</v>
      </c>
    </row>
    <row r="95" spans="1:11" x14ac:dyDescent="0.25">
      <c r="A95" s="7" t="s">
        <v>26</v>
      </c>
      <c r="B95">
        <v>40</v>
      </c>
      <c r="C95">
        <v>175</v>
      </c>
      <c r="D95">
        <v>215</v>
      </c>
      <c r="F95" t="s">
        <v>26</v>
      </c>
      <c r="G95">
        <f>GETPIVOTDATA("ID",$A$91,"Performance","top","Gender","Female")</f>
        <v>40</v>
      </c>
      <c r="H95">
        <f>GETPIVOTDATA("ID",$A$91,"Performance","top","Gender","Male")</f>
        <v>175</v>
      </c>
      <c r="I95">
        <v>215</v>
      </c>
    </row>
    <row r="96" spans="1:11" x14ac:dyDescent="0.25">
      <c r="A96" s="7" t="s">
        <v>960</v>
      </c>
      <c r="B96">
        <v>375</v>
      </c>
      <c r="C96">
        <v>460</v>
      </c>
      <c r="D96">
        <v>835</v>
      </c>
      <c r="F96" t="s">
        <v>960</v>
      </c>
      <c r="G96">
        <v>375</v>
      </c>
      <c r="H96">
        <v>460</v>
      </c>
      <c r="I96">
        <v>835</v>
      </c>
    </row>
    <row r="98" spans="1:5" x14ac:dyDescent="0.25">
      <c r="A98" s="6" t="s">
        <v>959</v>
      </c>
      <c r="B98" t="s">
        <v>964</v>
      </c>
      <c r="D98" t="s">
        <v>959</v>
      </c>
      <c r="E98" t="s">
        <v>964</v>
      </c>
    </row>
    <row r="99" spans="1:5" x14ac:dyDescent="0.25">
      <c r="A99" s="7" t="s">
        <v>968</v>
      </c>
      <c r="B99">
        <v>466</v>
      </c>
      <c r="D99" t="s">
        <v>968</v>
      </c>
      <c r="E99">
        <f>GETPIVOTDATA("ID",$A$98,"Age Group","Adult")</f>
        <v>466</v>
      </c>
    </row>
    <row r="100" spans="1:5" x14ac:dyDescent="0.25">
      <c r="A100" s="7" t="s">
        <v>969</v>
      </c>
      <c r="B100">
        <v>334</v>
      </c>
      <c r="D100" t="s">
        <v>969</v>
      </c>
      <c r="E100">
        <f>GETPIVOTDATA("ID",$A$98,"Age Group","Old")</f>
        <v>334</v>
      </c>
    </row>
    <row r="101" spans="1:5" x14ac:dyDescent="0.25">
      <c r="A101" s="7" t="s">
        <v>240</v>
      </c>
      <c r="B101">
        <v>35</v>
      </c>
      <c r="D101" t="s">
        <v>240</v>
      </c>
      <c r="E101">
        <f>GETPIVOTDATA("ID",$A$98,"Age Group","Young")</f>
        <v>35</v>
      </c>
    </row>
    <row r="102" spans="1:5" x14ac:dyDescent="0.25">
      <c r="A102" s="7" t="s">
        <v>960</v>
      </c>
      <c r="B102">
        <v>835</v>
      </c>
      <c r="D102" t="s">
        <v>960</v>
      </c>
      <c r="E102">
        <v>835</v>
      </c>
    </row>
    <row r="105" spans="1:5" x14ac:dyDescent="0.25">
      <c r="A105" s="6" t="s">
        <v>959</v>
      </c>
      <c r="B105" t="s">
        <v>957</v>
      </c>
      <c r="D105" t="s">
        <v>959</v>
      </c>
      <c r="E105" s="10" t="s">
        <v>957</v>
      </c>
    </row>
    <row r="106" spans="1:5" x14ac:dyDescent="0.25">
      <c r="A106" s="7" t="s">
        <v>954</v>
      </c>
      <c r="B106" s="4">
        <v>69401.372799999997</v>
      </c>
      <c r="D106" t="s">
        <v>954</v>
      </c>
      <c r="E106" s="10">
        <f>GETPIVOTDATA("Salary",$A$105,"Gender","Female")</f>
        <v>69401.372799999997</v>
      </c>
    </row>
    <row r="107" spans="1:5" x14ac:dyDescent="0.25">
      <c r="A107" s="7" t="s">
        <v>953</v>
      </c>
      <c r="B107" s="4">
        <v>85298.518804347856</v>
      </c>
      <c r="D107" t="s">
        <v>953</v>
      </c>
      <c r="E107" s="10">
        <f>GETPIVOTDATA("Salary",$A$105,"Gender","Male")</f>
        <v>85298.518804347856</v>
      </c>
    </row>
    <row r="108" spans="1:5" x14ac:dyDescent="0.25">
      <c r="A108" s="7" t="s">
        <v>960</v>
      </c>
      <c r="B108" s="4">
        <v>78159.081976047921</v>
      </c>
      <c r="D108" t="s">
        <v>960</v>
      </c>
      <c r="E108" s="10">
        <v>78159.081976047921</v>
      </c>
    </row>
    <row r="111" spans="1:5" x14ac:dyDescent="0.25">
      <c r="A111" s="6" t="s">
        <v>959</v>
      </c>
      <c r="B111" t="s">
        <v>970</v>
      </c>
    </row>
    <row r="112" spans="1:5" x14ac:dyDescent="0.25">
      <c r="A112" s="7" t="s">
        <v>148</v>
      </c>
      <c r="B112">
        <v>10</v>
      </c>
    </row>
    <row r="113" spans="1:2" x14ac:dyDescent="0.25">
      <c r="A113" s="7" t="s">
        <v>246</v>
      </c>
      <c r="B113">
        <v>15</v>
      </c>
    </row>
    <row r="114" spans="1:2" x14ac:dyDescent="0.25">
      <c r="A114" s="7" t="s">
        <v>83</v>
      </c>
      <c r="B114">
        <v>14</v>
      </c>
    </row>
    <row r="115" spans="1:2" x14ac:dyDescent="0.25">
      <c r="A115" s="7" t="s">
        <v>960</v>
      </c>
      <c r="B115">
        <v>39</v>
      </c>
    </row>
  </sheetData>
  <pageMargins left="0.7" right="0.7" top="0.75" bottom="0.75" header="0.3" footer="0.3"/>
  <drawing r:id="rId17"/>
  <extLst>
    <ext xmlns:x14="http://schemas.microsoft.com/office/spreadsheetml/2009/9/main" uri="{A8765BA9-456A-4dab-B4F3-ACF838C121DE}">
      <x14:slicerList>
        <x14:slicer r:id="rId1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EF0F8-BEB9-4CF9-BDD1-EE8AF928E880}">
  <sheetPr codeName="Sheet2"/>
  <dimension ref="G1"/>
  <sheetViews>
    <sheetView topLeftCell="A2" zoomScale="61" zoomScaleNormal="68" workbookViewId="0">
      <selection activeCell="AE31" sqref="AE31"/>
    </sheetView>
  </sheetViews>
  <sheetFormatPr defaultRowHeight="15" x14ac:dyDescent="0.25"/>
  <cols>
    <col min="1" max="16384" width="9.140625" style="9"/>
  </cols>
  <sheetData>
    <row r="1" spans="7:7" x14ac:dyDescent="0.25">
      <c r="G1" s="1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3DD7E-56E0-47E3-8BBB-288070E35790}">
  <sheetPr codeName="Sheet3"/>
  <dimension ref="A1:O836"/>
  <sheetViews>
    <sheetView workbookViewId="0">
      <pane ySplit="1" topLeftCell="A54" activePane="bottomLeft" state="frozen"/>
      <selection pane="bottomLeft" activeCell="B64" sqref="B64"/>
    </sheetView>
  </sheetViews>
  <sheetFormatPr defaultRowHeight="15" x14ac:dyDescent="0.25"/>
  <cols>
    <col min="2" max="2" width="15.140625" bestFit="1" customWidth="1"/>
    <col min="3" max="3" width="10.7109375" bestFit="1" customWidth="1"/>
    <col min="4" max="4" width="6.42578125" bestFit="1" customWidth="1"/>
    <col min="5" max="5" width="9" bestFit="1" customWidth="1"/>
    <col min="7" max="7" width="9.28515625" bestFit="1" customWidth="1"/>
    <col min="8" max="8" width="22.28515625" bestFit="1" customWidth="1"/>
    <col min="9" max="9" width="10.42578125" bestFit="1" customWidth="1"/>
    <col min="10" max="10" width="8.140625" bestFit="1" customWidth="1"/>
    <col min="11" max="11" width="13" bestFit="1" customWidth="1"/>
    <col min="12" max="13" width="12" style="4" bestFit="1" customWidth="1"/>
    <col min="14" max="14" width="14" bestFit="1" customWidth="1"/>
    <col min="15" max="15" width="11.7109375" bestFit="1" customWidth="1"/>
  </cols>
  <sheetData>
    <row r="1" spans="1:15" x14ac:dyDescent="0.25">
      <c r="A1" s="1" t="s">
        <v>0</v>
      </c>
      <c r="B1" s="1" t="s">
        <v>1</v>
      </c>
      <c r="C1" s="1" t="s">
        <v>2</v>
      </c>
      <c r="D1" s="1" t="s">
        <v>3</v>
      </c>
      <c r="E1" s="1" t="s">
        <v>4</v>
      </c>
      <c r="F1" s="1" t="s">
        <v>5</v>
      </c>
      <c r="G1" s="1" t="s">
        <v>6</v>
      </c>
      <c r="H1" s="1" t="s">
        <v>7</v>
      </c>
      <c r="I1" s="1" t="s">
        <v>8</v>
      </c>
      <c r="J1" s="1" t="s">
        <v>9</v>
      </c>
      <c r="K1" s="1" t="s">
        <v>10</v>
      </c>
      <c r="L1" s="3" t="s">
        <v>11</v>
      </c>
      <c r="M1" s="3" t="s">
        <v>12</v>
      </c>
      <c r="N1" s="1" t="s">
        <v>13</v>
      </c>
      <c r="O1" s="5" t="s">
        <v>955</v>
      </c>
    </row>
    <row r="2" spans="1:15" x14ac:dyDescent="0.25">
      <c r="A2" s="1">
        <v>21639</v>
      </c>
      <c r="B2" s="1" t="s">
        <v>14</v>
      </c>
      <c r="C2" s="1" t="s">
        <v>15</v>
      </c>
      <c r="D2" s="1">
        <v>38</v>
      </c>
      <c r="E2" s="1">
        <v>2</v>
      </c>
      <c r="F2" s="1" t="s">
        <v>954</v>
      </c>
      <c r="G2" s="1" t="s">
        <v>16</v>
      </c>
      <c r="H2" s="1" t="s">
        <v>17</v>
      </c>
      <c r="I2" s="1" t="s">
        <v>18</v>
      </c>
      <c r="J2" s="1">
        <v>20</v>
      </c>
      <c r="K2" s="1" t="s">
        <v>19</v>
      </c>
      <c r="L2" s="3">
        <v>118086</v>
      </c>
      <c r="M2" s="3">
        <v>59043</v>
      </c>
      <c r="N2" s="1" t="s">
        <v>20</v>
      </c>
      <c r="O2" s="5" t="str" cm="1">
        <f t="array" ref="O2">_xlfn.IFS(Table1[[#This Row],[Age]]&lt;25,"Young",Table1[[#This Row],[Age]]&lt;45,"Adult",Table1[[#This Row],[Age]]&gt;=45,"Old")</f>
        <v>Adult</v>
      </c>
    </row>
    <row r="3" spans="1:15" x14ac:dyDescent="0.25">
      <c r="A3" s="1">
        <v>4335</v>
      </c>
      <c r="B3" s="1" t="s">
        <v>21</v>
      </c>
      <c r="C3" s="1" t="s">
        <v>22</v>
      </c>
      <c r="D3" s="1">
        <v>62</v>
      </c>
      <c r="E3" s="1">
        <v>22</v>
      </c>
      <c r="F3" s="1" t="s">
        <v>953</v>
      </c>
      <c r="G3" s="1" t="s">
        <v>23</v>
      </c>
      <c r="H3" s="1" t="s">
        <v>24</v>
      </c>
      <c r="I3" s="1" t="s">
        <v>18</v>
      </c>
      <c r="J3" s="1">
        <v>40</v>
      </c>
      <c r="K3" s="1" t="s">
        <v>25</v>
      </c>
      <c r="L3" s="3">
        <v>109666</v>
      </c>
      <c r="M3" s="3">
        <v>109666</v>
      </c>
      <c r="N3" s="1" t="s">
        <v>26</v>
      </c>
      <c r="O3" s="5" t="str" cm="1">
        <f t="array" ref="O3">_xlfn.IFS(Table1[[#This Row],[Age]]&lt;25,"Young",Table1[[#This Row],[Age]]&lt;45,"Adult",Table1[[#This Row],[Age]]&gt;=45,"Old")</f>
        <v>Old</v>
      </c>
    </row>
    <row r="4" spans="1:15" x14ac:dyDescent="0.25">
      <c r="A4" s="1">
        <v>1506</v>
      </c>
      <c r="B4" s="1" t="s">
        <v>27</v>
      </c>
      <c r="C4" s="1" t="s">
        <v>28</v>
      </c>
      <c r="D4" s="1">
        <v>42</v>
      </c>
      <c r="E4" s="1">
        <v>2</v>
      </c>
      <c r="F4" s="1" t="s">
        <v>954</v>
      </c>
      <c r="G4" s="1" t="s">
        <v>16</v>
      </c>
      <c r="H4" s="1" t="s">
        <v>24</v>
      </c>
      <c r="I4" s="1" t="s">
        <v>18</v>
      </c>
      <c r="J4" s="1">
        <v>40</v>
      </c>
      <c r="K4" s="1" t="s">
        <v>25</v>
      </c>
      <c r="L4" s="3">
        <v>106311</v>
      </c>
      <c r="M4" s="3">
        <v>106311</v>
      </c>
      <c r="N4" s="1" t="s">
        <v>29</v>
      </c>
      <c r="O4" s="5" t="str" cm="1">
        <f t="array" ref="O4">_xlfn.IFS(Table1[[#This Row],[Age]]&lt;25,"Young",Table1[[#This Row],[Age]]&lt;45,"Adult",Table1[[#This Row],[Age]]&gt;=45,"Old")</f>
        <v>Adult</v>
      </c>
    </row>
    <row r="5" spans="1:15" x14ac:dyDescent="0.25">
      <c r="A5" s="1">
        <v>9699</v>
      </c>
      <c r="B5" s="1" t="s">
        <v>30</v>
      </c>
      <c r="C5" s="1" t="s">
        <v>31</v>
      </c>
      <c r="D5" s="1">
        <v>34</v>
      </c>
      <c r="E5" s="1">
        <v>5</v>
      </c>
      <c r="F5" s="1" t="s">
        <v>953</v>
      </c>
      <c r="G5" s="1" t="s">
        <v>23</v>
      </c>
      <c r="H5" s="1" t="s">
        <v>32</v>
      </c>
      <c r="I5" s="1" t="s">
        <v>18</v>
      </c>
      <c r="J5" s="1">
        <v>40</v>
      </c>
      <c r="K5" s="1" t="s">
        <v>25</v>
      </c>
      <c r="L5" s="3">
        <v>122000</v>
      </c>
      <c r="M5" s="3">
        <v>122000</v>
      </c>
      <c r="N5" s="1" t="s">
        <v>26</v>
      </c>
      <c r="O5" s="5" t="str" cm="1">
        <f t="array" ref="O5">_xlfn.IFS(Table1[[#This Row],[Age]]&lt;25,"Young",Table1[[#This Row],[Age]]&lt;45,"Adult",Table1[[#This Row],[Age]]&gt;=45,"Old")</f>
        <v>Adult</v>
      </c>
    </row>
    <row r="6" spans="1:15" x14ac:dyDescent="0.25">
      <c r="A6" s="1">
        <v>8711</v>
      </c>
      <c r="B6" s="1" t="s">
        <v>33</v>
      </c>
      <c r="C6" s="1" t="s">
        <v>34</v>
      </c>
      <c r="D6" s="1">
        <v>32</v>
      </c>
      <c r="E6" s="1">
        <v>7</v>
      </c>
      <c r="F6" s="1" t="s">
        <v>954</v>
      </c>
      <c r="G6" s="1" t="s">
        <v>35</v>
      </c>
      <c r="H6" s="1" t="s">
        <v>36</v>
      </c>
      <c r="I6" s="1" t="s">
        <v>18</v>
      </c>
      <c r="J6" s="1">
        <v>20</v>
      </c>
      <c r="K6" s="1" t="s">
        <v>37</v>
      </c>
      <c r="L6" s="3">
        <v>85000</v>
      </c>
      <c r="M6" s="3">
        <v>42500</v>
      </c>
      <c r="N6" s="1" t="s">
        <v>29</v>
      </c>
      <c r="O6" s="5" t="str" cm="1">
        <f t="array" ref="O6">_xlfn.IFS(Table1[[#This Row],[Age]]&lt;25,"Young",Table1[[#This Row],[Age]]&lt;45,"Adult",Table1[[#This Row],[Age]]&gt;=45,"Old")</f>
        <v>Adult</v>
      </c>
    </row>
    <row r="7" spans="1:15" x14ac:dyDescent="0.25">
      <c r="A7" s="1">
        <v>8001</v>
      </c>
      <c r="B7" s="1" t="s">
        <v>38</v>
      </c>
      <c r="C7" s="1" t="s">
        <v>39</v>
      </c>
      <c r="D7" s="1">
        <v>38</v>
      </c>
      <c r="E7" s="1">
        <v>20</v>
      </c>
      <c r="F7" s="1" t="s">
        <v>954</v>
      </c>
      <c r="G7" s="1" t="s">
        <v>23</v>
      </c>
      <c r="H7" s="1" t="s">
        <v>24</v>
      </c>
      <c r="I7" s="1" t="s">
        <v>18</v>
      </c>
      <c r="J7" s="1">
        <v>40</v>
      </c>
      <c r="K7" s="1" t="s">
        <v>25</v>
      </c>
      <c r="L7" s="3">
        <v>98744</v>
      </c>
      <c r="M7" s="3">
        <v>98744</v>
      </c>
      <c r="N7" s="1" t="s">
        <v>29</v>
      </c>
      <c r="O7" s="5" t="str" cm="1">
        <f t="array" ref="O7">_xlfn.IFS(Table1[[#This Row],[Age]]&lt;25,"Young",Table1[[#This Row],[Age]]&lt;45,"Adult",Table1[[#This Row],[Age]]&gt;=45,"Old")</f>
        <v>Adult</v>
      </c>
    </row>
    <row r="8" spans="1:15" x14ac:dyDescent="0.25">
      <c r="A8" s="1">
        <v>5259</v>
      </c>
      <c r="B8" s="1" t="s">
        <v>40</v>
      </c>
      <c r="C8" s="1" t="s">
        <v>41</v>
      </c>
      <c r="D8" s="1">
        <v>26</v>
      </c>
      <c r="E8" s="1">
        <v>0</v>
      </c>
      <c r="F8" s="1" t="s">
        <v>953</v>
      </c>
      <c r="G8" s="1" t="s">
        <v>16</v>
      </c>
      <c r="H8" s="1" t="s">
        <v>32</v>
      </c>
      <c r="I8" s="1" t="s">
        <v>18</v>
      </c>
      <c r="J8" s="1">
        <v>20</v>
      </c>
      <c r="K8" s="1" t="s">
        <v>42</v>
      </c>
      <c r="L8" s="3">
        <v>78825</v>
      </c>
      <c r="M8" s="3">
        <v>39412.5</v>
      </c>
      <c r="N8" s="1" t="s">
        <v>20</v>
      </c>
      <c r="O8" s="5" t="str" cm="1">
        <f t="array" ref="O8">_xlfn.IFS(Table1[[#This Row],[Age]]&lt;25,"Young",Table1[[#This Row],[Age]]&lt;45,"Adult",Table1[[#This Row],[Age]]&gt;=45,"Old")</f>
        <v>Adult</v>
      </c>
    </row>
    <row r="9" spans="1:15" x14ac:dyDescent="0.25">
      <c r="A9" s="1">
        <v>4045</v>
      </c>
      <c r="B9" s="1" t="s">
        <v>43</v>
      </c>
      <c r="C9" s="1" t="s">
        <v>44</v>
      </c>
      <c r="D9" s="1">
        <v>38</v>
      </c>
      <c r="E9" s="1">
        <v>8</v>
      </c>
      <c r="F9" s="1" t="s">
        <v>954</v>
      </c>
      <c r="G9" s="1" t="s">
        <v>45</v>
      </c>
      <c r="H9" s="1" t="s">
        <v>32</v>
      </c>
      <c r="I9" s="1" t="s">
        <v>18</v>
      </c>
      <c r="J9" s="1">
        <v>8</v>
      </c>
      <c r="K9" s="1" t="s">
        <v>42</v>
      </c>
      <c r="L9" s="3">
        <v>68000</v>
      </c>
      <c r="M9" s="3">
        <v>13600</v>
      </c>
      <c r="N9" s="1" t="s">
        <v>29</v>
      </c>
      <c r="O9" s="5" t="str" cm="1">
        <f t="array" ref="O9">_xlfn.IFS(Table1[[#This Row],[Age]]&lt;25,"Young",Table1[[#This Row],[Age]]&lt;45,"Adult",Table1[[#This Row],[Age]]&gt;=45,"Old")</f>
        <v>Adult</v>
      </c>
    </row>
    <row r="10" spans="1:15" x14ac:dyDescent="0.25">
      <c r="A10" s="1">
        <v>18557</v>
      </c>
      <c r="B10" s="1" t="s">
        <v>46</v>
      </c>
      <c r="C10" s="1" t="s">
        <v>47</v>
      </c>
      <c r="D10" s="1">
        <v>23</v>
      </c>
      <c r="E10" s="1">
        <v>2</v>
      </c>
      <c r="F10" s="1" t="s">
        <v>953</v>
      </c>
      <c r="G10" s="1" t="s">
        <v>23</v>
      </c>
      <c r="H10" s="1" t="s">
        <v>32</v>
      </c>
      <c r="I10" s="1" t="s">
        <v>18</v>
      </c>
      <c r="J10" s="1">
        <v>40</v>
      </c>
      <c r="K10" s="1" t="s">
        <v>25</v>
      </c>
      <c r="L10" s="3">
        <v>122000</v>
      </c>
      <c r="M10" s="3">
        <v>122000</v>
      </c>
      <c r="N10" s="1" t="s">
        <v>26</v>
      </c>
      <c r="O10" s="5" t="str" cm="1">
        <f t="array" ref="O10">_xlfn.IFS(Table1[[#This Row],[Age]]&lt;25,"Young",Table1[[#This Row],[Age]]&lt;45,"Adult",Table1[[#This Row],[Age]]&gt;=45,"Old")</f>
        <v>Young</v>
      </c>
    </row>
    <row r="11" spans="1:15" x14ac:dyDescent="0.25">
      <c r="A11" s="1">
        <v>3535</v>
      </c>
      <c r="B11" s="1" t="s">
        <v>48</v>
      </c>
      <c r="C11" s="1" t="s">
        <v>49</v>
      </c>
      <c r="D11" s="1">
        <v>56</v>
      </c>
      <c r="E11" s="1">
        <v>36</v>
      </c>
      <c r="F11" s="1" t="s">
        <v>953</v>
      </c>
      <c r="G11" s="1" t="s">
        <v>50</v>
      </c>
      <c r="H11" s="1" t="s">
        <v>24</v>
      </c>
      <c r="I11" s="1" t="s">
        <v>51</v>
      </c>
      <c r="J11" s="1">
        <v>32</v>
      </c>
      <c r="K11" s="1" t="s">
        <v>52</v>
      </c>
      <c r="L11" s="3">
        <v>152991</v>
      </c>
      <c r="M11" s="3">
        <v>122392.8</v>
      </c>
      <c r="N11" s="1" t="s">
        <v>26</v>
      </c>
      <c r="O11" s="5" t="str" cm="1">
        <f t="array" ref="O11">_xlfn.IFS(Table1[[#This Row],[Age]]&lt;25,"Young",Table1[[#This Row],[Age]]&lt;45,"Adult",Table1[[#This Row],[Age]]&gt;=45,"Old")</f>
        <v>Old</v>
      </c>
    </row>
    <row r="12" spans="1:15" x14ac:dyDescent="0.25">
      <c r="A12" s="1">
        <v>20036</v>
      </c>
      <c r="B12" s="1" t="s">
        <v>53</v>
      </c>
      <c r="C12" s="1" t="s">
        <v>54</v>
      </c>
      <c r="D12" s="1">
        <v>59</v>
      </c>
      <c r="E12" s="1">
        <v>28</v>
      </c>
      <c r="F12" s="1" t="s">
        <v>954</v>
      </c>
      <c r="G12" s="1" t="s">
        <v>35</v>
      </c>
      <c r="H12" s="1" t="s">
        <v>36</v>
      </c>
      <c r="I12" s="1" t="s">
        <v>18</v>
      </c>
      <c r="J12" s="1">
        <v>40</v>
      </c>
      <c r="K12" s="1" t="s">
        <v>37</v>
      </c>
      <c r="L12" s="3">
        <v>95702</v>
      </c>
      <c r="M12" s="3">
        <v>95702</v>
      </c>
      <c r="N12" s="1" t="s">
        <v>29</v>
      </c>
      <c r="O12" s="5" t="str" cm="1">
        <f t="array" ref="O12">_xlfn.IFS(Table1[[#This Row],[Age]]&lt;25,"Young",Table1[[#This Row],[Age]]&lt;45,"Adult",Table1[[#This Row],[Age]]&gt;=45,"Old")</f>
        <v>Old</v>
      </c>
    </row>
    <row r="13" spans="1:15" x14ac:dyDescent="0.25">
      <c r="A13" s="1">
        <v>14512</v>
      </c>
      <c r="B13" s="1" t="s">
        <v>55</v>
      </c>
      <c r="C13" s="1" t="s">
        <v>56</v>
      </c>
      <c r="D13" s="1">
        <v>31</v>
      </c>
      <c r="E13" s="1">
        <v>7</v>
      </c>
      <c r="F13" s="1" t="s">
        <v>954</v>
      </c>
      <c r="G13" s="1" t="s">
        <v>45</v>
      </c>
      <c r="H13" s="1" t="s">
        <v>24</v>
      </c>
      <c r="I13" s="1" t="s">
        <v>18</v>
      </c>
      <c r="J13" s="1">
        <v>32</v>
      </c>
      <c r="K13" s="1" t="s">
        <v>19</v>
      </c>
      <c r="L13" s="3">
        <v>115000</v>
      </c>
      <c r="M13" s="3">
        <v>92000</v>
      </c>
      <c r="N13" s="1" t="s">
        <v>20</v>
      </c>
      <c r="O13" s="5" t="str" cm="1">
        <f t="array" ref="O13">_xlfn.IFS(Table1[[#This Row],[Age]]&lt;25,"Young",Table1[[#This Row],[Age]]&lt;45,"Adult",Table1[[#This Row],[Age]]&gt;=45,"Old")</f>
        <v>Adult</v>
      </c>
    </row>
    <row r="14" spans="1:15" x14ac:dyDescent="0.25">
      <c r="A14" s="1">
        <v>1728</v>
      </c>
      <c r="B14" s="1" t="s">
        <v>57</v>
      </c>
      <c r="C14" s="1" t="s">
        <v>31</v>
      </c>
      <c r="D14" s="1">
        <v>22</v>
      </c>
      <c r="E14" s="1">
        <v>4</v>
      </c>
      <c r="F14" s="1" t="s">
        <v>954</v>
      </c>
      <c r="G14" s="1" t="s">
        <v>16</v>
      </c>
      <c r="H14" s="1" t="s">
        <v>32</v>
      </c>
      <c r="I14" s="1" t="s">
        <v>18</v>
      </c>
      <c r="J14" s="1">
        <v>40</v>
      </c>
      <c r="K14" s="1" t="s">
        <v>37</v>
      </c>
      <c r="L14" s="3">
        <v>85000</v>
      </c>
      <c r="M14" s="3">
        <v>85000</v>
      </c>
      <c r="N14" s="1" t="s">
        <v>29</v>
      </c>
      <c r="O14" s="5" t="str" cm="1">
        <f t="array" ref="O14">_xlfn.IFS(Table1[[#This Row],[Age]]&lt;25,"Young",Table1[[#This Row],[Age]]&lt;45,"Adult",Table1[[#This Row],[Age]]&gt;=45,"Old")</f>
        <v>Young</v>
      </c>
    </row>
    <row r="15" spans="1:15" x14ac:dyDescent="0.25">
      <c r="A15" s="1">
        <v>1663</v>
      </c>
      <c r="B15" s="1" t="s">
        <v>58</v>
      </c>
      <c r="C15" s="1" t="s">
        <v>59</v>
      </c>
      <c r="D15" s="1">
        <v>43</v>
      </c>
      <c r="E15" s="1">
        <v>4</v>
      </c>
      <c r="F15" s="1" t="s">
        <v>953</v>
      </c>
      <c r="G15" s="1" t="s">
        <v>45</v>
      </c>
      <c r="H15" s="1" t="s">
        <v>24</v>
      </c>
      <c r="I15" s="1" t="s">
        <v>51</v>
      </c>
      <c r="J15" s="1">
        <v>32</v>
      </c>
      <c r="K15" s="1" t="s">
        <v>52</v>
      </c>
      <c r="L15" s="3">
        <v>140400</v>
      </c>
      <c r="M15" s="3">
        <v>112320</v>
      </c>
      <c r="N15" s="1" t="s">
        <v>26</v>
      </c>
      <c r="O15" s="5" t="str" cm="1">
        <f t="array" ref="O15">_xlfn.IFS(Table1[[#This Row],[Age]]&lt;25,"Young",Table1[[#This Row],[Age]]&lt;45,"Adult",Table1[[#This Row],[Age]]&gt;=45,"Old")</f>
        <v>Adult</v>
      </c>
    </row>
    <row r="16" spans="1:15" x14ac:dyDescent="0.25">
      <c r="A16" s="1">
        <v>3757</v>
      </c>
      <c r="B16" s="1" t="s">
        <v>60</v>
      </c>
      <c r="C16" s="1" t="s">
        <v>61</v>
      </c>
      <c r="D16" s="1">
        <v>35</v>
      </c>
      <c r="E16" s="1">
        <v>9</v>
      </c>
      <c r="F16" s="1" t="s">
        <v>954</v>
      </c>
      <c r="G16" s="1" t="s">
        <v>23</v>
      </c>
      <c r="H16" s="1" t="s">
        <v>24</v>
      </c>
      <c r="I16" s="1" t="s">
        <v>18</v>
      </c>
      <c r="J16" s="1">
        <v>20</v>
      </c>
      <c r="K16" s="1" t="s">
        <v>52</v>
      </c>
      <c r="L16" s="3">
        <v>130000</v>
      </c>
      <c r="M16" s="3">
        <v>65000</v>
      </c>
      <c r="N16" s="1" t="s">
        <v>20</v>
      </c>
      <c r="O16" s="5" t="str" cm="1">
        <f t="array" ref="O16">_xlfn.IFS(Table1[[#This Row],[Age]]&lt;25,"Young",Table1[[#This Row],[Age]]&lt;45,"Adult",Table1[[#This Row],[Age]]&gt;=45,"Old")</f>
        <v>Adult</v>
      </c>
    </row>
    <row r="17" spans="1:15" x14ac:dyDescent="0.25">
      <c r="A17" s="1">
        <v>7851</v>
      </c>
      <c r="B17" s="1" t="s">
        <v>62</v>
      </c>
      <c r="C17" s="1" t="s">
        <v>63</v>
      </c>
      <c r="D17" s="1">
        <v>54</v>
      </c>
      <c r="E17" s="1">
        <v>2</v>
      </c>
      <c r="F17" s="1" t="s">
        <v>953</v>
      </c>
      <c r="G17" s="1" t="s">
        <v>45</v>
      </c>
      <c r="H17" s="1" t="s">
        <v>64</v>
      </c>
      <c r="I17" s="1" t="s">
        <v>18</v>
      </c>
      <c r="J17" s="1">
        <v>8</v>
      </c>
      <c r="K17" s="1" t="s">
        <v>25</v>
      </c>
      <c r="L17" s="3">
        <v>112135</v>
      </c>
      <c r="M17" s="3">
        <v>22427</v>
      </c>
      <c r="N17" s="1" t="s">
        <v>29</v>
      </c>
      <c r="O17" s="5" t="str" cm="1">
        <f t="array" ref="O17">_xlfn.IFS(Table1[[#This Row],[Age]]&lt;25,"Young",Table1[[#This Row],[Age]]&lt;45,"Adult",Table1[[#This Row],[Age]]&gt;=45,"Old")</f>
        <v>Old</v>
      </c>
    </row>
    <row r="18" spans="1:15" x14ac:dyDescent="0.25">
      <c r="A18" s="1">
        <v>8310</v>
      </c>
      <c r="B18" s="1" t="s">
        <v>65</v>
      </c>
      <c r="C18" s="1" t="s">
        <v>66</v>
      </c>
      <c r="D18" s="1">
        <v>44</v>
      </c>
      <c r="E18" s="1">
        <v>7</v>
      </c>
      <c r="F18" s="1" t="s">
        <v>953</v>
      </c>
      <c r="G18" s="1" t="s">
        <v>23</v>
      </c>
      <c r="H18" s="1" t="s">
        <v>36</v>
      </c>
      <c r="I18" s="1" t="s">
        <v>18</v>
      </c>
      <c r="J18" s="1">
        <v>20</v>
      </c>
      <c r="K18" s="1" t="s">
        <v>19</v>
      </c>
      <c r="L18" s="3">
        <v>124200</v>
      </c>
      <c r="M18" s="3">
        <v>62100</v>
      </c>
      <c r="N18" s="1" t="s">
        <v>29</v>
      </c>
      <c r="O18" s="5" t="str" cm="1">
        <f t="array" ref="O18">_xlfn.IFS(Table1[[#This Row],[Age]]&lt;25,"Young",Table1[[#This Row],[Age]]&lt;45,"Adult",Table1[[#This Row],[Age]]&gt;=45,"Old")</f>
        <v>Adult</v>
      </c>
    </row>
    <row r="19" spans="1:15" x14ac:dyDescent="0.25">
      <c r="A19" s="1">
        <v>17246</v>
      </c>
      <c r="B19" s="1" t="s">
        <v>67</v>
      </c>
      <c r="C19" s="1" t="s">
        <v>68</v>
      </c>
      <c r="D19" s="1">
        <v>35</v>
      </c>
      <c r="E19" s="1">
        <v>8</v>
      </c>
      <c r="F19" s="1" t="s">
        <v>953</v>
      </c>
      <c r="G19" s="1" t="s">
        <v>50</v>
      </c>
      <c r="H19" s="1" t="s">
        <v>32</v>
      </c>
      <c r="I19" s="1" t="s">
        <v>18</v>
      </c>
      <c r="J19" s="1">
        <v>40</v>
      </c>
      <c r="K19" s="1" t="s">
        <v>37</v>
      </c>
      <c r="L19" s="3">
        <v>98160</v>
      </c>
      <c r="M19" s="3">
        <v>98160</v>
      </c>
      <c r="N19" s="1" t="s">
        <v>29</v>
      </c>
      <c r="O19" s="5" t="str" cm="1">
        <f t="array" ref="O19">_xlfn.IFS(Table1[[#This Row],[Age]]&lt;25,"Young",Table1[[#This Row],[Age]]&lt;45,"Adult",Table1[[#This Row],[Age]]&gt;=45,"Old")</f>
        <v>Adult</v>
      </c>
    </row>
    <row r="20" spans="1:15" x14ac:dyDescent="0.25">
      <c r="A20" s="1">
        <v>20413</v>
      </c>
      <c r="B20" s="1" t="s">
        <v>69</v>
      </c>
      <c r="C20" s="1" t="s">
        <v>70</v>
      </c>
      <c r="D20" s="1">
        <v>47</v>
      </c>
      <c r="E20" s="1">
        <v>3</v>
      </c>
      <c r="F20" s="1" t="s">
        <v>954</v>
      </c>
      <c r="G20" s="1" t="s">
        <v>50</v>
      </c>
      <c r="H20" s="1" t="s">
        <v>32</v>
      </c>
      <c r="I20" s="1" t="s">
        <v>51</v>
      </c>
      <c r="J20" s="1">
        <v>16</v>
      </c>
      <c r="K20" s="1" t="s">
        <v>42</v>
      </c>
      <c r="L20" s="3">
        <v>68000</v>
      </c>
      <c r="M20" s="3">
        <v>27200</v>
      </c>
      <c r="N20" s="1" t="s">
        <v>20</v>
      </c>
      <c r="O20" s="5" t="str" cm="1">
        <f t="array" ref="O20">_xlfn.IFS(Table1[[#This Row],[Age]]&lt;25,"Young",Table1[[#This Row],[Age]]&lt;45,"Adult",Table1[[#This Row],[Age]]&gt;=45,"Old")</f>
        <v>Old</v>
      </c>
    </row>
    <row r="21" spans="1:15" x14ac:dyDescent="0.25">
      <c r="A21" s="1">
        <v>1556</v>
      </c>
      <c r="B21" s="1" t="s">
        <v>65</v>
      </c>
      <c r="C21" s="1" t="s">
        <v>71</v>
      </c>
      <c r="D21" s="1">
        <v>38</v>
      </c>
      <c r="E21" s="1">
        <v>6</v>
      </c>
      <c r="F21" s="1" t="s">
        <v>953</v>
      </c>
      <c r="G21" s="1" t="s">
        <v>45</v>
      </c>
      <c r="H21" s="1" t="s">
        <v>32</v>
      </c>
      <c r="I21" s="1" t="s">
        <v>18</v>
      </c>
      <c r="J21" s="1">
        <v>40</v>
      </c>
      <c r="K21" s="1" t="s">
        <v>37</v>
      </c>
      <c r="L21" s="3">
        <v>107000</v>
      </c>
      <c r="M21" s="3">
        <v>107000</v>
      </c>
      <c r="N21" s="1" t="s">
        <v>26</v>
      </c>
      <c r="O21" s="5" t="str" cm="1">
        <f t="array" ref="O21">_xlfn.IFS(Table1[[#This Row],[Age]]&lt;25,"Young",Table1[[#This Row],[Age]]&lt;45,"Adult",Table1[[#This Row],[Age]]&gt;=45,"Old")</f>
        <v>Adult</v>
      </c>
    </row>
    <row r="22" spans="1:15" x14ac:dyDescent="0.25">
      <c r="A22" s="1">
        <v>19077</v>
      </c>
      <c r="B22" s="1" t="s">
        <v>72</v>
      </c>
      <c r="C22" s="1" t="s">
        <v>73</v>
      </c>
      <c r="D22" s="1">
        <v>34</v>
      </c>
      <c r="E22" s="1">
        <v>0</v>
      </c>
      <c r="F22" s="1" t="s">
        <v>953</v>
      </c>
      <c r="G22" s="1" t="s">
        <v>45</v>
      </c>
      <c r="H22" s="1" t="s">
        <v>32</v>
      </c>
      <c r="I22" s="1" t="s">
        <v>18</v>
      </c>
      <c r="J22" s="1">
        <v>20</v>
      </c>
      <c r="K22" s="1" t="s">
        <v>42</v>
      </c>
      <c r="L22" s="3">
        <v>73440</v>
      </c>
      <c r="M22" s="3">
        <v>36720</v>
      </c>
      <c r="N22" s="1" t="s">
        <v>29</v>
      </c>
      <c r="O22" s="5" t="str" cm="1">
        <f t="array" ref="O22">_xlfn.IFS(Table1[[#This Row],[Age]]&lt;25,"Young",Table1[[#This Row],[Age]]&lt;45,"Adult",Table1[[#This Row],[Age]]&gt;=45,"Old")</f>
        <v>Adult</v>
      </c>
    </row>
    <row r="23" spans="1:15" x14ac:dyDescent="0.25">
      <c r="A23" s="1">
        <v>7202</v>
      </c>
      <c r="B23" s="1" t="s">
        <v>74</v>
      </c>
      <c r="C23" s="1" t="s">
        <v>75</v>
      </c>
      <c r="D23" s="1">
        <v>24</v>
      </c>
      <c r="E23" s="1">
        <v>0</v>
      </c>
      <c r="F23" s="1" t="s">
        <v>953</v>
      </c>
      <c r="G23" s="1" t="s">
        <v>35</v>
      </c>
      <c r="H23" s="1" t="s">
        <v>17</v>
      </c>
      <c r="I23" s="1" t="s">
        <v>18</v>
      </c>
      <c r="J23" s="1">
        <v>24</v>
      </c>
      <c r="K23" s="1" t="s">
        <v>52</v>
      </c>
      <c r="L23" s="3">
        <v>140400</v>
      </c>
      <c r="M23" s="3">
        <v>84240</v>
      </c>
      <c r="N23" s="1" t="s">
        <v>29</v>
      </c>
      <c r="O23" s="5" t="str" cm="1">
        <f t="array" ref="O23">_xlfn.IFS(Table1[[#This Row],[Age]]&lt;25,"Young",Table1[[#This Row],[Age]]&lt;45,"Adult",Table1[[#This Row],[Age]]&gt;=45,"Old")</f>
        <v>Young</v>
      </c>
    </row>
    <row r="24" spans="1:15" x14ac:dyDescent="0.25">
      <c r="A24" s="1">
        <v>21982</v>
      </c>
      <c r="B24" s="1" t="s">
        <v>76</v>
      </c>
      <c r="C24" s="1" t="s">
        <v>77</v>
      </c>
      <c r="D24" s="1">
        <v>41</v>
      </c>
      <c r="E24" s="1">
        <v>7</v>
      </c>
      <c r="F24" s="1" t="s">
        <v>953</v>
      </c>
      <c r="G24" s="1" t="s">
        <v>23</v>
      </c>
      <c r="H24" s="1" t="s">
        <v>36</v>
      </c>
      <c r="I24" s="1" t="s">
        <v>18</v>
      </c>
      <c r="J24" s="1">
        <v>40</v>
      </c>
      <c r="K24" s="1" t="s">
        <v>25</v>
      </c>
      <c r="L24" s="3">
        <v>122000</v>
      </c>
      <c r="M24" s="3">
        <v>122000</v>
      </c>
      <c r="N24" s="1" t="s">
        <v>29</v>
      </c>
      <c r="O24" s="5" t="str" cm="1">
        <f t="array" ref="O24">_xlfn.IFS(Table1[[#This Row],[Age]]&lt;25,"Young",Table1[[#This Row],[Age]]&lt;45,"Adult",Table1[[#This Row],[Age]]&gt;=45,"Old")</f>
        <v>Adult</v>
      </c>
    </row>
    <row r="25" spans="1:15" x14ac:dyDescent="0.25">
      <c r="A25" s="1">
        <v>18543</v>
      </c>
      <c r="B25" s="1" t="s">
        <v>78</v>
      </c>
      <c r="C25" s="1" t="s">
        <v>79</v>
      </c>
      <c r="D25" s="1">
        <v>45</v>
      </c>
      <c r="E25" s="1">
        <v>1</v>
      </c>
      <c r="F25" s="1" t="s">
        <v>954</v>
      </c>
      <c r="G25" s="1" t="s">
        <v>35</v>
      </c>
      <c r="H25" s="1" t="s">
        <v>32</v>
      </c>
      <c r="I25" s="1" t="s">
        <v>18</v>
      </c>
      <c r="J25" s="1">
        <v>40</v>
      </c>
      <c r="K25" s="1" t="s">
        <v>37</v>
      </c>
      <c r="L25" s="3">
        <v>93542</v>
      </c>
      <c r="M25" s="3">
        <v>93542</v>
      </c>
      <c r="N25" s="1" t="s">
        <v>29</v>
      </c>
      <c r="O25" s="5" t="str" cm="1">
        <f t="array" ref="O25">_xlfn.IFS(Table1[[#This Row],[Age]]&lt;25,"Young",Table1[[#This Row],[Age]]&lt;45,"Adult",Table1[[#This Row],[Age]]&gt;=45,"Old")</f>
        <v>Old</v>
      </c>
    </row>
    <row r="26" spans="1:15" x14ac:dyDescent="0.25">
      <c r="A26" s="1">
        <v>14433</v>
      </c>
      <c r="B26" s="1" t="s">
        <v>80</v>
      </c>
      <c r="C26" s="1" t="s">
        <v>81</v>
      </c>
      <c r="D26" s="1">
        <v>35</v>
      </c>
      <c r="E26" s="1">
        <v>1</v>
      </c>
      <c r="F26" s="1" t="s">
        <v>953</v>
      </c>
      <c r="G26" s="1" t="s">
        <v>23</v>
      </c>
      <c r="H26" s="1" t="s">
        <v>32</v>
      </c>
      <c r="I26" s="1" t="s">
        <v>18</v>
      </c>
      <c r="J26" s="1">
        <v>40</v>
      </c>
      <c r="K26" s="1" t="s">
        <v>25</v>
      </c>
      <c r="L26" s="3">
        <v>122000</v>
      </c>
      <c r="M26" s="3">
        <v>122000</v>
      </c>
      <c r="N26" s="1" t="s">
        <v>26</v>
      </c>
      <c r="O26" s="5" t="str" cm="1">
        <f t="array" ref="O26">_xlfn.IFS(Table1[[#This Row],[Age]]&lt;25,"Young",Table1[[#This Row],[Age]]&lt;45,"Adult",Table1[[#This Row],[Age]]&gt;=45,"Old")</f>
        <v>Adult</v>
      </c>
    </row>
    <row r="27" spans="1:15" x14ac:dyDescent="0.25">
      <c r="A27" s="1">
        <v>7910</v>
      </c>
      <c r="B27" s="1" t="s">
        <v>82</v>
      </c>
      <c r="C27" s="1" t="s">
        <v>83</v>
      </c>
      <c r="D27" s="1">
        <v>33</v>
      </c>
      <c r="E27" s="1">
        <v>13</v>
      </c>
      <c r="F27" s="1" t="s">
        <v>954</v>
      </c>
      <c r="G27" s="1" t="s">
        <v>50</v>
      </c>
      <c r="H27" s="1" t="s">
        <v>32</v>
      </c>
      <c r="I27" s="1" t="s">
        <v>18</v>
      </c>
      <c r="J27" s="1">
        <v>24</v>
      </c>
      <c r="K27" s="1" t="s">
        <v>42</v>
      </c>
      <c r="L27" s="3">
        <v>68000</v>
      </c>
      <c r="M27" s="3">
        <v>40800</v>
      </c>
      <c r="N27" s="1" t="s">
        <v>20</v>
      </c>
      <c r="O27" s="5" t="str" cm="1">
        <f t="array" ref="O27">_xlfn.IFS(Table1[[#This Row],[Age]]&lt;25,"Young",Table1[[#This Row],[Age]]&lt;45,"Adult",Table1[[#This Row],[Age]]&gt;=45,"Old")</f>
        <v>Adult</v>
      </c>
    </row>
    <row r="28" spans="1:15" x14ac:dyDescent="0.25">
      <c r="A28" s="1">
        <v>15406</v>
      </c>
      <c r="B28" s="1" t="s">
        <v>84</v>
      </c>
      <c r="C28" s="1" t="s">
        <v>85</v>
      </c>
      <c r="D28" s="1">
        <v>31</v>
      </c>
      <c r="E28" s="1">
        <v>10</v>
      </c>
      <c r="F28" s="1" t="s">
        <v>953</v>
      </c>
      <c r="G28" s="1" t="s">
        <v>23</v>
      </c>
      <c r="H28" s="1" t="s">
        <v>32</v>
      </c>
      <c r="I28" s="1" t="s">
        <v>18</v>
      </c>
      <c r="J28" s="1">
        <v>40</v>
      </c>
      <c r="K28" s="1" t="s">
        <v>25</v>
      </c>
      <c r="L28" s="3">
        <v>111994</v>
      </c>
      <c r="M28" s="3">
        <v>111994</v>
      </c>
      <c r="N28" s="1" t="s">
        <v>29</v>
      </c>
      <c r="O28" s="5" t="str" cm="1">
        <f t="array" ref="O28">_xlfn.IFS(Table1[[#This Row],[Age]]&lt;25,"Young",Table1[[#This Row],[Age]]&lt;45,"Adult",Table1[[#This Row],[Age]]&gt;=45,"Old")</f>
        <v>Adult</v>
      </c>
    </row>
    <row r="29" spans="1:15" x14ac:dyDescent="0.25">
      <c r="A29" s="1">
        <v>19996</v>
      </c>
      <c r="B29" s="1" t="s">
        <v>86</v>
      </c>
      <c r="C29" s="1" t="s">
        <v>87</v>
      </c>
      <c r="D29" s="1">
        <v>58</v>
      </c>
      <c r="E29" s="1">
        <v>28</v>
      </c>
      <c r="F29" s="1" t="s">
        <v>954</v>
      </c>
      <c r="G29" s="1" t="s">
        <v>16</v>
      </c>
      <c r="H29" s="1" t="s">
        <v>64</v>
      </c>
      <c r="I29" s="1" t="s">
        <v>51</v>
      </c>
      <c r="J29" s="1">
        <v>40</v>
      </c>
      <c r="K29" s="1" t="s">
        <v>25</v>
      </c>
      <c r="L29" s="3">
        <v>105387</v>
      </c>
      <c r="M29" s="3">
        <v>105387</v>
      </c>
      <c r="N29" s="1" t="s">
        <v>20</v>
      </c>
      <c r="O29" s="5" t="str" cm="1">
        <f t="array" ref="O29">_xlfn.IFS(Table1[[#This Row],[Age]]&lt;25,"Young",Table1[[#This Row],[Age]]&lt;45,"Adult",Table1[[#This Row],[Age]]&gt;=45,"Old")</f>
        <v>Old</v>
      </c>
    </row>
    <row r="30" spans="1:15" x14ac:dyDescent="0.25">
      <c r="A30" s="1">
        <v>9802</v>
      </c>
      <c r="B30" s="1" t="s">
        <v>46</v>
      </c>
      <c r="C30" s="1" t="s">
        <v>88</v>
      </c>
      <c r="D30" s="1">
        <v>54</v>
      </c>
      <c r="E30" s="1">
        <v>3</v>
      </c>
      <c r="F30" s="1" t="s">
        <v>953</v>
      </c>
      <c r="G30" s="1" t="s">
        <v>50</v>
      </c>
      <c r="H30" s="1" t="s">
        <v>32</v>
      </c>
      <c r="I30" s="1" t="s">
        <v>51</v>
      </c>
      <c r="J30" s="1">
        <v>24</v>
      </c>
      <c r="K30" s="1" t="s">
        <v>42</v>
      </c>
      <c r="L30" s="3">
        <v>73440</v>
      </c>
      <c r="M30" s="3">
        <v>44064</v>
      </c>
      <c r="N30" s="1" t="s">
        <v>20</v>
      </c>
      <c r="O30" s="5" t="str" cm="1">
        <f t="array" ref="O30">_xlfn.IFS(Table1[[#This Row],[Age]]&lt;25,"Young",Table1[[#This Row],[Age]]&lt;45,"Adult",Table1[[#This Row],[Age]]&gt;=45,"Old")</f>
        <v>Old</v>
      </c>
    </row>
    <row r="31" spans="1:15" x14ac:dyDescent="0.25">
      <c r="A31" s="1">
        <v>899</v>
      </c>
      <c r="B31" s="1" t="s">
        <v>89</v>
      </c>
      <c r="C31" s="1" t="s">
        <v>90</v>
      </c>
      <c r="D31" s="1">
        <v>37</v>
      </c>
      <c r="E31" s="1">
        <v>9</v>
      </c>
      <c r="F31" s="1" t="s">
        <v>954</v>
      </c>
      <c r="G31" s="1" t="s">
        <v>35</v>
      </c>
      <c r="H31" s="1" t="s">
        <v>17</v>
      </c>
      <c r="I31" s="1" t="s">
        <v>51</v>
      </c>
      <c r="J31" s="1">
        <v>32</v>
      </c>
      <c r="K31" s="1" t="s">
        <v>19</v>
      </c>
      <c r="L31" s="3">
        <v>115000</v>
      </c>
      <c r="M31" s="3">
        <v>92000</v>
      </c>
      <c r="N31" s="1" t="s">
        <v>20</v>
      </c>
      <c r="O31" s="5" t="str" cm="1">
        <f t="array" ref="O31">_xlfn.IFS(Table1[[#This Row],[Age]]&lt;25,"Young",Table1[[#This Row],[Age]]&lt;45,"Adult",Table1[[#This Row],[Age]]&gt;=45,"Old")</f>
        <v>Adult</v>
      </c>
    </row>
    <row r="32" spans="1:15" x14ac:dyDescent="0.25">
      <c r="A32" s="1">
        <v>5918</v>
      </c>
      <c r="B32" s="1" t="s">
        <v>91</v>
      </c>
      <c r="C32" s="1" t="s">
        <v>92</v>
      </c>
      <c r="D32" s="1">
        <v>34</v>
      </c>
      <c r="E32" s="1">
        <v>14</v>
      </c>
      <c r="F32" s="1" t="s">
        <v>954</v>
      </c>
      <c r="G32" s="1" t="s">
        <v>35</v>
      </c>
      <c r="H32" s="1" t="s">
        <v>24</v>
      </c>
      <c r="I32" s="1" t="s">
        <v>18</v>
      </c>
      <c r="J32" s="1">
        <v>8</v>
      </c>
      <c r="K32" s="1" t="s">
        <v>25</v>
      </c>
      <c r="L32" s="3">
        <v>98000</v>
      </c>
      <c r="M32" s="3">
        <v>19600</v>
      </c>
      <c r="N32" s="1" t="s">
        <v>26</v>
      </c>
      <c r="O32" s="5" t="str" cm="1">
        <f t="array" ref="O32">_xlfn.IFS(Table1[[#This Row],[Age]]&lt;25,"Young",Table1[[#This Row],[Age]]&lt;45,"Adult",Table1[[#This Row],[Age]]&gt;=45,"Old")</f>
        <v>Adult</v>
      </c>
    </row>
    <row r="33" spans="1:15" x14ac:dyDescent="0.25">
      <c r="A33" s="1">
        <v>14535</v>
      </c>
      <c r="B33" s="1" t="s">
        <v>93</v>
      </c>
      <c r="C33" s="1" t="s">
        <v>94</v>
      </c>
      <c r="D33" s="1">
        <v>57</v>
      </c>
      <c r="E33" s="1">
        <v>7</v>
      </c>
      <c r="F33" s="1" t="s">
        <v>953</v>
      </c>
      <c r="G33" s="1" t="s">
        <v>50</v>
      </c>
      <c r="H33" s="1" t="s">
        <v>64</v>
      </c>
      <c r="I33" s="1" t="s">
        <v>51</v>
      </c>
      <c r="J33" s="1">
        <v>16</v>
      </c>
      <c r="K33" s="1" t="s">
        <v>19</v>
      </c>
      <c r="L33" s="3">
        <v>124200</v>
      </c>
      <c r="M33" s="3">
        <v>49680</v>
      </c>
      <c r="N33" s="1" t="s">
        <v>29</v>
      </c>
      <c r="O33" s="5" t="str" cm="1">
        <f t="array" ref="O33">_xlfn.IFS(Table1[[#This Row],[Age]]&lt;25,"Young",Table1[[#This Row],[Age]]&lt;45,"Adult",Table1[[#This Row],[Age]]&gt;=45,"Old")</f>
        <v>Old</v>
      </c>
    </row>
    <row r="34" spans="1:15" x14ac:dyDescent="0.25">
      <c r="A34" s="1">
        <v>11836</v>
      </c>
      <c r="B34" s="1" t="s">
        <v>95</v>
      </c>
      <c r="C34" s="1" t="s">
        <v>96</v>
      </c>
      <c r="D34" s="1">
        <v>52</v>
      </c>
      <c r="E34" s="1">
        <v>33</v>
      </c>
      <c r="F34" s="1" t="s">
        <v>953</v>
      </c>
      <c r="G34" s="1" t="s">
        <v>50</v>
      </c>
      <c r="H34" s="1" t="s">
        <v>32</v>
      </c>
      <c r="I34" s="1" t="s">
        <v>18</v>
      </c>
      <c r="J34" s="1">
        <v>40</v>
      </c>
      <c r="K34" s="1" t="s">
        <v>37</v>
      </c>
      <c r="L34" s="3">
        <v>101987</v>
      </c>
      <c r="M34" s="3">
        <v>101987</v>
      </c>
      <c r="N34" s="1" t="s">
        <v>29</v>
      </c>
      <c r="O34" s="5" t="str" cm="1">
        <f t="array" ref="O34">_xlfn.IFS(Table1[[#This Row],[Age]]&lt;25,"Young",Table1[[#This Row],[Age]]&lt;45,"Adult",Table1[[#This Row],[Age]]&gt;=45,"Old")</f>
        <v>Old</v>
      </c>
    </row>
    <row r="35" spans="1:15" x14ac:dyDescent="0.25">
      <c r="A35" s="1">
        <v>9792</v>
      </c>
      <c r="B35" s="1" t="s">
        <v>69</v>
      </c>
      <c r="C35" s="1" t="s">
        <v>97</v>
      </c>
      <c r="D35" s="1">
        <v>33</v>
      </c>
      <c r="E35" s="1">
        <v>6</v>
      </c>
      <c r="F35" s="1" t="s">
        <v>954</v>
      </c>
      <c r="G35" s="1" t="s">
        <v>50</v>
      </c>
      <c r="H35" s="1" t="s">
        <v>36</v>
      </c>
      <c r="I35" s="1" t="s">
        <v>18</v>
      </c>
      <c r="J35" s="1">
        <v>20</v>
      </c>
      <c r="K35" s="1" t="s">
        <v>42</v>
      </c>
      <c r="L35" s="3">
        <v>68000</v>
      </c>
      <c r="M35" s="3">
        <v>34000</v>
      </c>
      <c r="N35" s="1" t="s">
        <v>20</v>
      </c>
      <c r="O35" s="5" t="str" cm="1">
        <f t="array" ref="O35">_xlfn.IFS(Table1[[#This Row],[Age]]&lt;25,"Young",Table1[[#This Row],[Age]]&lt;45,"Adult",Table1[[#This Row],[Age]]&gt;=45,"Old")</f>
        <v>Adult</v>
      </c>
    </row>
    <row r="36" spans="1:15" x14ac:dyDescent="0.25">
      <c r="A36" s="1">
        <v>5781</v>
      </c>
      <c r="B36" s="1" t="s">
        <v>98</v>
      </c>
      <c r="C36" s="1" t="s">
        <v>99</v>
      </c>
      <c r="D36" s="1">
        <v>61</v>
      </c>
      <c r="E36" s="1">
        <v>1</v>
      </c>
      <c r="F36" s="1" t="s">
        <v>953</v>
      </c>
      <c r="G36" s="1" t="s">
        <v>23</v>
      </c>
      <c r="H36" s="1" t="s">
        <v>24</v>
      </c>
      <c r="I36" s="1" t="s">
        <v>18</v>
      </c>
      <c r="J36" s="1">
        <v>20</v>
      </c>
      <c r="K36" s="1" t="s">
        <v>19</v>
      </c>
      <c r="L36" s="3">
        <v>129427</v>
      </c>
      <c r="M36" s="3">
        <v>64713.5</v>
      </c>
      <c r="N36" s="1" t="s">
        <v>29</v>
      </c>
      <c r="O36" s="5" t="str" cm="1">
        <f t="array" ref="O36">_xlfn.IFS(Table1[[#This Row],[Age]]&lt;25,"Young",Table1[[#This Row],[Age]]&lt;45,"Adult",Table1[[#This Row],[Age]]&gt;=45,"Old")</f>
        <v>Old</v>
      </c>
    </row>
    <row r="37" spans="1:15" x14ac:dyDescent="0.25">
      <c r="A37" s="1">
        <v>7742</v>
      </c>
      <c r="B37" s="1" t="s">
        <v>100</v>
      </c>
      <c r="C37" s="1" t="s">
        <v>101</v>
      </c>
      <c r="D37" s="1">
        <v>27</v>
      </c>
      <c r="E37" s="1">
        <v>6</v>
      </c>
      <c r="F37" s="1" t="s">
        <v>953</v>
      </c>
      <c r="G37" s="1" t="s">
        <v>35</v>
      </c>
      <c r="H37" s="1" t="s">
        <v>24</v>
      </c>
      <c r="I37" s="1" t="s">
        <v>18</v>
      </c>
      <c r="J37" s="1">
        <v>40</v>
      </c>
      <c r="K37" s="1" t="s">
        <v>37</v>
      </c>
      <c r="L37" s="3">
        <v>107000</v>
      </c>
      <c r="M37" s="3">
        <v>107000</v>
      </c>
      <c r="N37" s="1" t="s">
        <v>26</v>
      </c>
      <c r="O37" s="5" t="str" cm="1">
        <f t="array" ref="O37">_xlfn.IFS(Table1[[#This Row],[Age]]&lt;25,"Young",Table1[[#This Row],[Age]]&lt;45,"Adult",Table1[[#This Row],[Age]]&gt;=45,"Old")</f>
        <v>Adult</v>
      </c>
    </row>
    <row r="38" spans="1:15" x14ac:dyDescent="0.25">
      <c r="A38" s="1">
        <v>11716</v>
      </c>
      <c r="B38" s="1" t="s">
        <v>102</v>
      </c>
      <c r="C38" s="1" t="s">
        <v>103</v>
      </c>
      <c r="D38" s="1">
        <v>60</v>
      </c>
      <c r="E38" s="1">
        <v>35</v>
      </c>
      <c r="F38" s="1" t="s">
        <v>953</v>
      </c>
      <c r="G38" s="1" t="s">
        <v>50</v>
      </c>
      <c r="H38" s="1" t="s">
        <v>32</v>
      </c>
      <c r="I38" s="1" t="s">
        <v>18</v>
      </c>
      <c r="J38" s="1">
        <v>32</v>
      </c>
      <c r="K38" s="1" t="s">
        <v>37</v>
      </c>
      <c r="L38" s="3">
        <v>91800</v>
      </c>
      <c r="M38" s="3">
        <v>73440</v>
      </c>
      <c r="N38" s="1" t="s">
        <v>20</v>
      </c>
      <c r="O38" s="5" t="str" cm="1">
        <f t="array" ref="O38">_xlfn.IFS(Table1[[#This Row],[Age]]&lt;25,"Young",Table1[[#This Row],[Age]]&lt;45,"Adult",Table1[[#This Row],[Age]]&gt;=45,"Old")</f>
        <v>Old</v>
      </c>
    </row>
    <row r="39" spans="1:15" x14ac:dyDescent="0.25">
      <c r="A39" s="1">
        <v>4036</v>
      </c>
      <c r="B39" s="1" t="s">
        <v>104</v>
      </c>
      <c r="C39" s="1" t="s">
        <v>105</v>
      </c>
      <c r="D39" s="1">
        <v>51</v>
      </c>
      <c r="E39" s="1">
        <v>14</v>
      </c>
      <c r="F39" s="1" t="s">
        <v>954</v>
      </c>
      <c r="G39" s="1" t="s">
        <v>16</v>
      </c>
      <c r="H39" s="1" t="s">
        <v>36</v>
      </c>
      <c r="I39" s="1" t="s">
        <v>18</v>
      </c>
      <c r="J39" s="1">
        <v>40</v>
      </c>
      <c r="K39" s="1" t="s">
        <v>42</v>
      </c>
      <c r="L39" s="3">
        <v>71511</v>
      </c>
      <c r="M39" s="3">
        <v>71511</v>
      </c>
      <c r="N39" s="1" t="s">
        <v>29</v>
      </c>
      <c r="O39" s="5" t="str" cm="1">
        <f t="array" ref="O39">_xlfn.IFS(Table1[[#This Row],[Age]]&lt;25,"Young",Table1[[#This Row],[Age]]&lt;45,"Adult",Table1[[#This Row],[Age]]&gt;=45,"Old")</f>
        <v>Old</v>
      </c>
    </row>
    <row r="40" spans="1:15" x14ac:dyDescent="0.25">
      <c r="A40" s="1">
        <v>3726</v>
      </c>
      <c r="B40" s="1" t="s">
        <v>106</v>
      </c>
      <c r="C40" s="1" t="s">
        <v>107</v>
      </c>
      <c r="D40" s="1">
        <v>38</v>
      </c>
      <c r="E40" s="1">
        <v>2</v>
      </c>
      <c r="F40" s="1" t="s">
        <v>953</v>
      </c>
      <c r="G40" s="1" t="s">
        <v>16</v>
      </c>
      <c r="H40" s="1" t="s">
        <v>17</v>
      </c>
      <c r="I40" s="1" t="s">
        <v>18</v>
      </c>
      <c r="J40" s="1">
        <v>20</v>
      </c>
      <c r="K40" s="1" t="s">
        <v>25</v>
      </c>
      <c r="L40" s="3">
        <v>122000</v>
      </c>
      <c r="M40" s="3">
        <v>61000</v>
      </c>
      <c r="N40" s="1" t="s">
        <v>26</v>
      </c>
      <c r="O40" s="5" t="str" cm="1">
        <f t="array" ref="O40">_xlfn.IFS(Table1[[#This Row],[Age]]&lt;25,"Young",Table1[[#This Row],[Age]]&lt;45,"Adult",Table1[[#This Row],[Age]]&gt;=45,"Old")</f>
        <v>Adult</v>
      </c>
    </row>
    <row r="41" spans="1:15" x14ac:dyDescent="0.25">
      <c r="A41" s="1">
        <v>13136</v>
      </c>
      <c r="B41" s="1" t="s">
        <v>108</v>
      </c>
      <c r="C41" s="1" t="s">
        <v>109</v>
      </c>
      <c r="D41" s="1">
        <v>53</v>
      </c>
      <c r="E41" s="1">
        <v>30</v>
      </c>
      <c r="F41" s="1" t="s">
        <v>954</v>
      </c>
      <c r="G41" s="1" t="s">
        <v>50</v>
      </c>
      <c r="H41" s="1" t="s">
        <v>36</v>
      </c>
      <c r="I41" s="1" t="s">
        <v>51</v>
      </c>
      <c r="J41" s="1">
        <v>20</v>
      </c>
      <c r="K41" s="1" t="s">
        <v>42</v>
      </c>
      <c r="L41" s="3">
        <v>68000</v>
      </c>
      <c r="M41" s="3">
        <v>34000</v>
      </c>
      <c r="N41" s="1" t="s">
        <v>29</v>
      </c>
      <c r="O41" s="5" t="str" cm="1">
        <f t="array" ref="O41">_xlfn.IFS(Table1[[#This Row],[Age]]&lt;25,"Young",Table1[[#This Row],[Age]]&lt;45,"Adult",Table1[[#This Row],[Age]]&gt;=45,"Old")</f>
        <v>Old</v>
      </c>
    </row>
    <row r="42" spans="1:15" x14ac:dyDescent="0.25">
      <c r="A42" s="1">
        <v>3856</v>
      </c>
      <c r="B42" s="1" t="s">
        <v>110</v>
      </c>
      <c r="C42" s="1" t="s">
        <v>111</v>
      </c>
      <c r="D42" s="1">
        <v>34</v>
      </c>
      <c r="E42" s="1">
        <v>7</v>
      </c>
      <c r="F42" s="1" t="s">
        <v>953</v>
      </c>
      <c r="G42" s="1" t="s">
        <v>23</v>
      </c>
      <c r="H42" s="1" t="s">
        <v>24</v>
      </c>
      <c r="I42" s="1" t="s">
        <v>18</v>
      </c>
      <c r="J42" s="1">
        <v>20</v>
      </c>
      <c r="K42" s="1" t="s">
        <v>37</v>
      </c>
      <c r="L42" s="3">
        <v>106974</v>
      </c>
      <c r="M42" s="3">
        <v>53487</v>
      </c>
      <c r="N42" s="1" t="s">
        <v>26</v>
      </c>
      <c r="O42" s="5" t="str" cm="1">
        <f t="array" ref="O42">_xlfn.IFS(Table1[[#This Row],[Age]]&lt;25,"Young",Table1[[#This Row],[Age]]&lt;45,"Adult",Table1[[#This Row],[Age]]&gt;=45,"Old")</f>
        <v>Adult</v>
      </c>
    </row>
    <row r="43" spans="1:15" x14ac:dyDescent="0.25">
      <c r="A43" s="1">
        <v>12450</v>
      </c>
      <c r="B43" s="1" t="s">
        <v>112</v>
      </c>
      <c r="C43" s="1" t="s">
        <v>113</v>
      </c>
      <c r="D43" s="1">
        <v>26</v>
      </c>
      <c r="E43" s="1">
        <v>0</v>
      </c>
      <c r="F43" s="1" t="s">
        <v>953</v>
      </c>
      <c r="G43" s="1" t="s">
        <v>50</v>
      </c>
      <c r="H43" s="1" t="s">
        <v>32</v>
      </c>
      <c r="I43" s="1" t="s">
        <v>18</v>
      </c>
      <c r="J43" s="1">
        <v>32</v>
      </c>
      <c r="K43" s="1" t="s">
        <v>37</v>
      </c>
      <c r="L43" s="3">
        <v>91800</v>
      </c>
      <c r="M43" s="3">
        <v>73440</v>
      </c>
      <c r="N43" s="1" t="s">
        <v>20</v>
      </c>
      <c r="O43" s="5" t="str" cm="1">
        <f t="array" ref="O43">_xlfn.IFS(Table1[[#This Row],[Age]]&lt;25,"Young",Table1[[#This Row],[Age]]&lt;45,"Adult",Table1[[#This Row],[Age]]&gt;=45,"Old")</f>
        <v>Adult</v>
      </c>
    </row>
    <row r="44" spans="1:15" x14ac:dyDescent="0.25">
      <c r="A44" s="1">
        <v>11957</v>
      </c>
      <c r="B44" s="1" t="s">
        <v>114</v>
      </c>
      <c r="C44" s="1" t="s">
        <v>49</v>
      </c>
      <c r="D44" s="1">
        <v>21</v>
      </c>
      <c r="E44" s="1">
        <v>3</v>
      </c>
      <c r="F44" s="1" t="s">
        <v>954</v>
      </c>
      <c r="G44" s="1" t="s">
        <v>35</v>
      </c>
      <c r="H44" s="1" t="s">
        <v>32</v>
      </c>
      <c r="I44" s="1" t="s">
        <v>18</v>
      </c>
      <c r="J44" s="1">
        <v>20</v>
      </c>
      <c r="K44" s="1" t="s">
        <v>25</v>
      </c>
      <c r="L44" s="3">
        <v>98000</v>
      </c>
      <c r="M44" s="3">
        <v>49000</v>
      </c>
      <c r="N44" s="1" t="s">
        <v>20</v>
      </c>
      <c r="O44" s="5" t="str" cm="1">
        <f t="array" ref="O44">_xlfn.IFS(Table1[[#This Row],[Age]]&lt;25,"Young",Table1[[#This Row],[Age]]&lt;45,"Adult",Table1[[#This Row],[Age]]&gt;=45,"Old")</f>
        <v>Young</v>
      </c>
    </row>
    <row r="45" spans="1:15" x14ac:dyDescent="0.25">
      <c r="A45" s="1">
        <v>20469</v>
      </c>
      <c r="B45" s="1" t="s">
        <v>115</v>
      </c>
      <c r="C45" s="1" t="s">
        <v>116</v>
      </c>
      <c r="D45" s="1">
        <v>39</v>
      </c>
      <c r="E45" s="1">
        <v>10</v>
      </c>
      <c r="F45" s="1" t="s">
        <v>954</v>
      </c>
      <c r="G45" s="1" t="s">
        <v>16</v>
      </c>
      <c r="H45" s="1" t="s">
        <v>32</v>
      </c>
      <c r="I45" s="1" t="s">
        <v>51</v>
      </c>
      <c r="J45" s="1">
        <v>40</v>
      </c>
      <c r="K45" s="1" t="s">
        <v>42</v>
      </c>
      <c r="L45" s="3">
        <v>77849</v>
      </c>
      <c r="M45" s="3">
        <v>77849</v>
      </c>
      <c r="N45" s="1" t="s">
        <v>29</v>
      </c>
      <c r="O45" s="5" t="str" cm="1">
        <f t="array" ref="O45">_xlfn.IFS(Table1[[#This Row],[Age]]&lt;25,"Young",Table1[[#This Row],[Age]]&lt;45,"Adult",Table1[[#This Row],[Age]]&gt;=45,"Old")</f>
        <v>Adult</v>
      </c>
    </row>
    <row r="46" spans="1:15" x14ac:dyDescent="0.25">
      <c r="A46" s="1">
        <v>9354</v>
      </c>
      <c r="B46" s="1" t="s">
        <v>117</v>
      </c>
      <c r="C46" s="1" t="s">
        <v>46</v>
      </c>
      <c r="D46" s="1">
        <v>37</v>
      </c>
      <c r="E46" s="1">
        <v>1</v>
      </c>
      <c r="F46" s="1" t="s">
        <v>953</v>
      </c>
      <c r="G46" s="1" t="s">
        <v>50</v>
      </c>
      <c r="H46" s="1" t="s">
        <v>24</v>
      </c>
      <c r="I46" s="1" t="s">
        <v>18</v>
      </c>
      <c r="J46" s="1">
        <v>40</v>
      </c>
      <c r="K46" s="1" t="s">
        <v>37</v>
      </c>
      <c r="L46" s="3">
        <v>99216</v>
      </c>
      <c r="M46" s="3">
        <v>99216</v>
      </c>
      <c r="N46" s="1" t="s">
        <v>29</v>
      </c>
      <c r="O46" s="5" t="str" cm="1">
        <f t="array" ref="O46">_xlfn.IFS(Table1[[#This Row],[Age]]&lt;25,"Young",Table1[[#This Row],[Age]]&lt;45,"Adult",Table1[[#This Row],[Age]]&gt;=45,"Old")</f>
        <v>Adult</v>
      </c>
    </row>
    <row r="47" spans="1:15" x14ac:dyDescent="0.25">
      <c r="A47" s="1">
        <v>2110</v>
      </c>
      <c r="B47" s="1" t="s">
        <v>114</v>
      </c>
      <c r="C47" s="1" t="s">
        <v>118</v>
      </c>
      <c r="D47" s="1">
        <v>50</v>
      </c>
      <c r="E47" s="1">
        <v>23</v>
      </c>
      <c r="F47" s="1" t="s">
        <v>954</v>
      </c>
      <c r="G47" s="1" t="s">
        <v>23</v>
      </c>
      <c r="H47" s="1" t="s">
        <v>119</v>
      </c>
      <c r="I47" s="1" t="s">
        <v>51</v>
      </c>
      <c r="J47" s="1">
        <v>24</v>
      </c>
      <c r="K47" s="1" t="s">
        <v>52</v>
      </c>
      <c r="L47" s="3">
        <v>130000</v>
      </c>
      <c r="M47" s="3">
        <v>78000</v>
      </c>
      <c r="N47" s="1" t="s">
        <v>29</v>
      </c>
      <c r="O47" s="5" t="str" cm="1">
        <f t="array" ref="O47">_xlfn.IFS(Table1[[#This Row],[Age]]&lt;25,"Young",Table1[[#This Row],[Age]]&lt;45,"Adult",Table1[[#This Row],[Age]]&gt;=45,"Old")</f>
        <v>Old</v>
      </c>
    </row>
    <row r="48" spans="1:15" x14ac:dyDescent="0.25">
      <c r="A48" s="1">
        <v>15741</v>
      </c>
      <c r="B48" s="1" t="s">
        <v>72</v>
      </c>
      <c r="C48" s="1" t="s">
        <v>120</v>
      </c>
      <c r="D48" s="1">
        <v>26</v>
      </c>
      <c r="E48" s="1">
        <v>2</v>
      </c>
      <c r="F48" s="1" t="s">
        <v>953</v>
      </c>
      <c r="G48" s="1" t="s">
        <v>23</v>
      </c>
      <c r="H48" s="1" t="s">
        <v>24</v>
      </c>
      <c r="I48" s="1" t="s">
        <v>18</v>
      </c>
      <c r="J48" s="1">
        <v>40</v>
      </c>
      <c r="K48" s="1" t="s">
        <v>25</v>
      </c>
      <c r="L48" s="3">
        <v>122000</v>
      </c>
      <c r="M48" s="3">
        <v>122000</v>
      </c>
      <c r="N48" s="1" t="s">
        <v>26</v>
      </c>
      <c r="O48" s="5" t="str" cm="1">
        <f t="array" ref="O48">_xlfn.IFS(Table1[[#This Row],[Age]]&lt;25,"Young",Table1[[#This Row],[Age]]&lt;45,"Adult",Table1[[#This Row],[Age]]&gt;=45,"Old")</f>
        <v>Adult</v>
      </c>
    </row>
    <row r="49" spans="1:15" x14ac:dyDescent="0.25">
      <c r="A49" s="1">
        <v>18258</v>
      </c>
      <c r="B49" s="1" t="s">
        <v>121</v>
      </c>
      <c r="C49" s="1" t="s">
        <v>122</v>
      </c>
      <c r="D49" s="1">
        <v>22</v>
      </c>
      <c r="E49" s="1">
        <v>3</v>
      </c>
      <c r="F49" s="1" t="s">
        <v>953</v>
      </c>
      <c r="G49" s="1" t="s">
        <v>35</v>
      </c>
      <c r="H49" s="1" t="s">
        <v>32</v>
      </c>
      <c r="I49" s="1" t="s">
        <v>18</v>
      </c>
      <c r="J49" s="1">
        <v>40</v>
      </c>
      <c r="K49" s="1" t="s">
        <v>37</v>
      </c>
      <c r="L49" s="3">
        <v>107000</v>
      </c>
      <c r="M49" s="3">
        <v>107000</v>
      </c>
      <c r="N49" s="1" t="s">
        <v>26</v>
      </c>
      <c r="O49" s="5" t="str" cm="1">
        <f t="array" ref="O49">_xlfn.IFS(Table1[[#This Row],[Age]]&lt;25,"Young",Table1[[#This Row],[Age]]&lt;45,"Adult",Table1[[#This Row],[Age]]&gt;=45,"Old")</f>
        <v>Young</v>
      </c>
    </row>
    <row r="50" spans="1:15" x14ac:dyDescent="0.25">
      <c r="A50" s="1">
        <v>4777</v>
      </c>
      <c r="B50" s="1" t="s">
        <v>123</v>
      </c>
      <c r="C50" s="1" t="s">
        <v>124</v>
      </c>
      <c r="D50" s="1">
        <v>25</v>
      </c>
      <c r="E50" s="1">
        <v>7</v>
      </c>
      <c r="F50" s="1" t="s">
        <v>953</v>
      </c>
      <c r="G50" s="1" t="s">
        <v>35</v>
      </c>
      <c r="H50" s="1" t="s">
        <v>36</v>
      </c>
      <c r="I50" s="1" t="s">
        <v>18</v>
      </c>
      <c r="J50" s="1">
        <v>40</v>
      </c>
      <c r="K50" s="1" t="s">
        <v>25</v>
      </c>
      <c r="L50" s="3">
        <v>122000</v>
      </c>
      <c r="M50" s="3">
        <v>122000</v>
      </c>
      <c r="N50" s="1" t="s">
        <v>26</v>
      </c>
      <c r="O50" s="5" t="str" cm="1">
        <f t="array" ref="O50">_xlfn.IFS(Table1[[#This Row],[Age]]&lt;25,"Young",Table1[[#This Row],[Age]]&lt;45,"Adult",Table1[[#This Row],[Age]]&gt;=45,"Old")</f>
        <v>Adult</v>
      </c>
    </row>
    <row r="51" spans="1:15" x14ac:dyDescent="0.25">
      <c r="A51" s="1">
        <v>13090</v>
      </c>
      <c r="B51" s="1" t="s">
        <v>114</v>
      </c>
      <c r="C51" s="1" t="s">
        <v>125</v>
      </c>
      <c r="D51" s="1">
        <v>39</v>
      </c>
      <c r="E51" s="1">
        <v>16</v>
      </c>
      <c r="F51" s="1" t="s">
        <v>954</v>
      </c>
      <c r="G51" s="1" t="s">
        <v>50</v>
      </c>
      <c r="H51" s="1" t="s">
        <v>24</v>
      </c>
      <c r="I51" s="1" t="s">
        <v>18</v>
      </c>
      <c r="J51" s="1">
        <v>16</v>
      </c>
      <c r="K51" s="1" t="s">
        <v>37</v>
      </c>
      <c r="L51" s="3">
        <v>85000</v>
      </c>
      <c r="M51" s="3">
        <v>34000</v>
      </c>
      <c r="N51" s="1" t="s">
        <v>29</v>
      </c>
      <c r="O51" s="5" t="str" cm="1">
        <f t="array" ref="O51">_xlfn.IFS(Table1[[#This Row],[Age]]&lt;25,"Young",Table1[[#This Row],[Age]]&lt;45,"Adult",Table1[[#This Row],[Age]]&gt;=45,"Old")</f>
        <v>Adult</v>
      </c>
    </row>
    <row r="52" spans="1:15" x14ac:dyDescent="0.25">
      <c r="A52" s="1">
        <v>3269</v>
      </c>
      <c r="B52" s="1" t="s">
        <v>126</v>
      </c>
      <c r="C52" s="1" t="s">
        <v>127</v>
      </c>
      <c r="D52" s="1">
        <v>34</v>
      </c>
      <c r="E52" s="1">
        <v>13</v>
      </c>
      <c r="F52" s="1" t="s">
        <v>954</v>
      </c>
      <c r="G52" s="1" t="s">
        <v>16</v>
      </c>
      <c r="H52" s="1" t="s">
        <v>36</v>
      </c>
      <c r="I52" s="1" t="s">
        <v>18</v>
      </c>
      <c r="J52" s="1">
        <v>40</v>
      </c>
      <c r="K52" s="1" t="s">
        <v>42</v>
      </c>
      <c r="L52" s="3">
        <v>76261</v>
      </c>
      <c r="M52" s="3">
        <v>76261</v>
      </c>
      <c r="N52" s="1" t="s">
        <v>29</v>
      </c>
      <c r="O52" s="5" t="str" cm="1">
        <f t="array" ref="O52">_xlfn.IFS(Table1[[#This Row],[Age]]&lt;25,"Young",Table1[[#This Row],[Age]]&lt;45,"Adult",Table1[[#This Row],[Age]]&gt;=45,"Old")</f>
        <v>Adult</v>
      </c>
    </row>
    <row r="53" spans="1:15" x14ac:dyDescent="0.25">
      <c r="A53" s="1">
        <v>18776</v>
      </c>
      <c r="B53" s="1" t="s">
        <v>40</v>
      </c>
      <c r="C53" s="1" t="s">
        <v>128</v>
      </c>
      <c r="D53" s="1">
        <v>50</v>
      </c>
      <c r="E53" s="1">
        <v>21</v>
      </c>
      <c r="F53" s="1" t="s">
        <v>953</v>
      </c>
      <c r="G53" s="1" t="s">
        <v>23</v>
      </c>
      <c r="H53" s="1" t="s">
        <v>32</v>
      </c>
      <c r="I53" s="1" t="s">
        <v>18</v>
      </c>
      <c r="J53" s="1">
        <v>32</v>
      </c>
      <c r="K53" s="1" t="s">
        <v>37</v>
      </c>
      <c r="L53" s="3">
        <v>91800</v>
      </c>
      <c r="M53" s="3">
        <v>73440</v>
      </c>
      <c r="N53" s="1" t="s">
        <v>20</v>
      </c>
      <c r="O53" s="5" t="str" cm="1">
        <f t="array" ref="O53">_xlfn.IFS(Table1[[#This Row],[Age]]&lt;25,"Young",Table1[[#This Row],[Age]]&lt;45,"Adult",Table1[[#This Row],[Age]]&gt;=45,"Old")</f>
        <v>Old</v>
      </c>
    </row>
    <row r="54" spans="1:15" x14ac:dyDescent="0.25">
      <c r="A54" s="1">
        <v>10293</v>
      </c>
      <c r="B54" s="1" t="s">
        <v>129</v>
      </c>
      <c r="C54" s="1" t="s">
        <v>130</v>
      </c>
      <c r="D54" s="1">
        <v>20</v>
      </c>
      <c r="E54" s="1">
        <v>2</v>
      </c>
      <c r="F54" s="1" t="s">
        <v>953</v>
      </c>
      <c r="G54" s="1" t="s">
        <v>35</v>
      </c>
      <c r="H54" s="1" t="s">
        <v>36</v>
      </c>
      <c r="I54" s="1" t="s">
        <v>18</v>
      </c>
      <c r="J54" s="1">
        <v>20</v>
      </c>
      <c r="K54" s="1" t="s">
        <v>25</v>
      </c>
      <c r="L54" s="3">
        <v>105840</v>
      </c>
      <c r="M54" s="3">
        <v>52920</v>
      </c>
      <c r="N54" s="1" t="s">
        <v>20</v>
      </c>
      <c r="O54" s="5" t="str" cm="1">
        <f t="array" ref="O54">_xlfn.IFS(Table1[[#This Row],[Age]]&lt;25,"Young",Table1[[#This Row],[Age]]&lt;45,"Adult",Table1[[#This Row],[Age]]&gt;=45,"Old")</f>
        <v>Young</v>
      </c>
    </row>
    <row r="55" spans="1:15" x14ac:dyDescent="0.25">
      <c r="A55" s="1">
        <v>21286</v>
      </c>
      <c r="B55" s="1" t="s">
        <v>131</v>
      </c>
      <c r="C55" s="1" t="s">
        <v>132</v>
      </c>
      <c r="D55" s="1">
        <v>35</v>
      </c>
      <c r="E55" s="1">
        <v>11</v>
      </c>
      <c r="F55" s="1" t="s">
        <v>954</v>
      </c>
      <c r="G55" s="1" t="s">
        <v>16</v>
      </c>
      <c r="H55" s="1" t="s">
        <v>24</v>
      </c>
      <c r="I55" s="1" t="s">
        <v>18</v>
      </c>
      <c r="J55" s="1">
        <v>20</v>
      </c>
      <c r="K55" s="1" t="s">
        <v>25</v>
      </c>
      <c r="L55" s="3">
        <v>107354</v>
      </c>
      <c r="M55" s="3">
        <v>53677</v>
      </c>
      <c r="N55" s="1" t="s">
        <v>29</v>
      </c>
      <c r="O55" s="5" t="str" cm="1">
        <f t="array" ref="O55">_xlfn.IFS(Table1[[#This Row],[Age]]&lt;25,"Young",Table1[[#This Row],[Age]]&lt;45,"Adult",Table1[[#This Row],[Age]]&gt;=45,"Old")</f>
        <v>Adult</v>
      </c>
    </row>
    <row r="56" spans="1:15" x14ac:dyDescent="0.25">
      <c r="A56" s="1">
        <v>20954</v>
      </c>
      <c r="B56" s="1" t="s">
        <v>133</v>
      </c>
      <c r="C56" s="1" t="s">
        <v>134</v>
      </c>
      <c r="D56" s="1">
        <v>27</v>
      </c>
      <c r="E56" s="1">
        <v>0</v>
      </c>
      <c r="F56" s="1" t="s">
        <v>954</v>
      </c>
      <c r="G56" s="1" t="s">
        <v>23</v>
      </c>
      <c r="H56" s="1" t="s">
        <v>64</v>
      </c>
      <c r="I56" s="1" t="s">
        <v>18</v>
      </c>
      <c r="J56" s="1">
        <v>24</v>
      </c>
      <c r="K56" s="1" t="s">
        <v>52</v>
      </c>
      <c r="L56" s="3">
        <v>130000</v>
      </c>
      <c r="M56" s="3">
        <v>78000</v>
      </c>
      <c r="N56" s="1" t="s">
        <v>20</v>
      </c>
      <c r="O56" s="5" t="str" cm="1">
        <f t="array" ref="O56">_xlfn.IFS(Table1[[#This Row],[Age]]&lt;25,"Young",Table1[[#This Row],[Age]]&lt;45,"Adult",Table1[[#This Row],[Age]]&gt;=45,"Old")</f>
        <v>Adult</v>
      </c>
    </row>
    <row r="57" spans="1:15" x14ac:dyDescent="0.25">
      <c r="A57" s="1">
        <v>12537</v>
      </c>
      <c r="B57" s="1" t="s">
        <v>135</v>
      </c>
      <c r="C57" s="1" t="s">
        <v>136</v>
      </c>
      <c r="D57" s="1">
        <v>40</v>
      </c>
      <c r="E57" s="1">
        <v>7</v>
      </c>
      <c r="F57" s="1" t="s">
        <v>954</v>
      </c>
      <c r="G57" s="1" t="s">
        <v>23</v>
      </c>
      <c r="H57" s="1" t="s">
        <v>24</v>
      </c>
      <c r="I57" s="1" t="s">
        <v>51</v>
      </c>
      <c r="J57" s="1">
        <v>24</v>
      </c>
      <c r="K57" s="1" t="s">
        <v>37</v>
      </c>
      <c r="L57" s="3">
        <v>85000</v>
      </c>
      <c r="M57" s="3">
        <v>51000</v>
      </c>
      <c r="N57" s="1" t="s">
        <v>20</v>
      </c>
      <c r="O57" s="5" t="str" cm="1">
        <f t="array" ref="O57">_xlfn.IFS(Table1[[#This Row],[Age]]&lt;25,"Young",Table1[[#This Row],[Age]]&lt;45,"Adult",Table1[[#This Row],[Age]]&gt;=45,"Old")</f>
        <v>Adult</v>
      </c>
    </row>
    <row r="58" spans="1:15" x14ac:dyDescent="0.25">
      <c r="A58" s="1">
        <v>19605</v>
      </c>
      <c r="B58" s="1" t="s">
        <v>137</v>
      </c>
      <c r="C58" s="1" t="s">
        <v>138</v>
      </c>
      <c r="D58" s="1">
        <v>59</v>
      </c>
      <c r="E58" s="1">
        <v>29</v>
      </c>
      <c r="F58" s="1" t="s">
        <v>953</v>
      </c>
      <c r="G58" s="1" t="s">
        <v>16</v>
      </c>
      <c r="H58" s="1" t="s">
        <v>64</v>
      </c>
      <c r="I58" s="1" t="s">
        <v>51</v>
      </c>
      <c r="J58" s="1">
        <v>40</v>
      </c>
      <c r="K58" s="1" t="s">
        <v>25</v>
      </c>
      <c r="L58" s="3">
        <v>122000</v>
      </c>
      <c r="M58" s="3">
        <v>122000</v>
      </c>
      <c r="N58" s="1" t="s">
        <v>20</v>
      </c>
      <c r="O58" s="5" t="str" cm="1">
        <f t="array" ref="O58">_xlfn.IFS(Table1[[#This Row],[Age]]&lt;25,"Young",Table1[[#This Row],[Age]]&lt;45,"Adult",Table1[[#This Row],[Age]]&gt;=45,"Old")</f>
        <v>Old</v>
      </c>
    </row>
    <row r="59" spans="1:15" x14ac:dyDescent="0.25">
      <c r="A59" s="1">
        <v>6987</v>
      </c>
      <c r="B59" s="1" t="s">
        <v>139</v>
      </c>
      <c r="C59" s="1" t="s">
        <v>140</v>
      </c>
      <c r="D59" s="1">
        <v>49</v>
      </c>
      <c r="E59" s="1">
        <v>9</v>
      </c>
      <c r="F59" s="1" t="s">
        <v>954</v>
      </c>
      <c r="G59" s="1" t="s">
        <v>35</v>
      </c>
      <c r="H59" s="1" t="s">
        <v>24</v>
      </c>
      <c r="I59" s="1" t="s">
        <v>18</v>
      </c>
      <c r="J59" s="1">
        <v>20</v>
      </c>
      <c r="K59" s="1" t="s">
        <v>25</v>
      </c>
      <c r="L59" s="3">
        <v>98000</v>
      </c>
      <c r="M59" s="3">
        <v>49000</v>
      </c>
      <c r="N59" s="1" t="s">
        <v>20</v>
      </c>
      <c r="O59" s="5" t="str" cm="1">
        <f t="array" ref="O59">_xlfn.IFS(Table1[[#This Row],[Age]]&lt;25,"Young",Table1[[#This Row],[Age]]&lt;45,"Adult",Table1[[#This Row],[Age]]&gt;=45,"Old")</f>
        <v>Old</v>
      </c>
    </row>
    <row r="60" spans="1:15" x14ac:dyDescent="0.25">
      <c r="A60" s="1">
        <v>2966</v>
      </c>
      <c r="B60" s="1" t="s">
        <v>123</v>
      </c>
      <c r="C60" s="1" t="s">
        <v>141</v>
      </c>
      <c r="D60" s="1">
        <v>43</v>
      </c>
      <c r="E60" s="1">
        <v>23</v>
      </c>
      <c r="F60" s="1" t="s">
        <v>954</v>
      </c>
      <c r="G60" s="1" t="s">
        <v>50</v>
      </c>
      <c r="H60" s="1" t="s">
        <v>64</v>
      </c>
      <c r="I60" s="1" t="s">
        <v>51</v>
      </c>
      <c r="J60" s="1">
        <v>24</v>
      </c>
      <c r="K60" s="1" t="s">
        <v>25</v>
      </c>
      <c r="L60" s="3">
        <v>98000</v>
      </c>
      <c r="M60" s="3">
        <v>58800</v>
      </c>
      <c r="N60" s="1" t="s">
        <v>20</v>
      </c>
      <c r="O60" s="5" t="str" cm="1">
        <f t="array" ref="O60">_xlfn.IFS(Table1[[#This Row],[Age]]&lt;25,"Young",Table1[[#This Row],[Age]]&lt;45,"Adult",Table1[[#This Row],[Age]]&gt;=45,"Old")</f>
        <v>Adult</v>
      </c>
    </row>
    <row r="61" spans="1:15" x14ac:dyDescent="0.25">
      <c r="A61" s="1">
        <v>2188</v>
      </c>
      <c r="B61" s="1" t="s">
        <v>98</v>
      </c>
      <c r="C61" s="1" t="s">
        <v>142</v>
      </c>
      <c r="D61" s="1">
        <v>59</v>
      </c>
      <c r="E61" s="1">
        <v>15</v>
      </c>
      <c r="F61" s="1" t="s">
        <v>953</v>
      </c>
      <c r="G61" s="1" t="s">
        <v>45</v>
      </c>
      <c r="H61" s="1" t="s">
        <v>17</v>
      </c>
      <c r="I61" s="1" t="s">
        <v>51</v>
      </c>
      <c r="J61" s="1">
        <v>40</v>
      </c>
      <c r="K61" s="1" t="s">
        <v>25</v>
      </c>
      <c r="L61" s="3">
        <v>111002</v>
      </c>
      <c r="M61" s="3">
        <v>111002</v>
      </c>
      <c r="N61" s="1" t="s">
        <v>29</v>
      </c>
      <c r="O61" s="5" t="str" cm="1">
        <f t="array" ref="O61">_xlfn.IFS(Table1[[#This Row],[Age]]&lt;25,"Young",Table1[[#This Row],[Age]]&lt;45,"Adult",Table1[[#This Row],[Age]]&gt;=45,"Old")</f>
        <v>Old</v>
      </c>
    </row>
    <row r="62" spans="1:15" x14ac:dyDescent="0.25">
      <c r="A62" s="1">
        <v>22355</v>
      </c>
      <c r="B62" s="1" t="s">
        <v>129</v>
      </c>
      <c r="C62" s="1" t="s">
        <v>143</v>
      </c>
      <c r="D62" s="1">
        <v>36</v>
      </c>
      <c r="E62" s="1">
        <v>1</v>
      </c>
      <c r="F62" s="1" t="s">
        <v>953</v>
      </c>
      <c r="G62" s="1" t="s">
        <v>45</v>
      </c>
      <c r="H62" s="1" t="s">
        <v>24</v>
      </c>
      <c r="I62" s="1" t="s">
        <v>18</v>
      </c>
      <c r="J62" s="1">
        <v>32</v>
      </c>
      <c r="K62" s="1" t="s">
        <v>52</v>
      </c>
      <c r="L62" s="3">
        <v>140400</v>
      </c>
      <c r="M62" s="3">
        <v>112320</v>
      </c>
      <c r="N62" s="1" t="s">
        <v>29</v>
      </c>
      <c r="O62" s="5" t="str" cm="1">
        <f t="array" ref="O62">_xlfn.IFS(Table1[[#This Row],[Age]]&lt;25,"Young",Table1[[#This Row],[Age]]&lt;45,"Adult",Table1[[#This Row],[Age]]&gt;=45,"Old")</f>
        <v>Adult</v>
      </c>
    </row>
    <row r="63" spans="1:15" x14ac:dyDescent="0.25">
      <c r="A63" s="1">
        <v>8154</v>
      </c>
      <c r="B63" s="1" t="s">
        <v>144</v>
      </c>
      <c r="C63" s="1" t="s">
        <v>145</v>
      </c>
      <c r="D63" s="1">
        <v>29</v>
      </c>
      <c r="E63" s="1">
        <v>8</v>
      </c>
      <c r="F63" s="1" t="s">
        <v>954</v>
      </c>
      <c r="G63" s="1" t="s">
        <v>23</v>
      </c>
      <c r="H63" s="1" t="s">
        <v>17</v>
      </c>
      <c r="I63" s="1" t="s">
        <v>18</v>
      </c>
      <c r="J63" s="1">
        <v>32</v>
      </c>
      <c r="K63" s="1" t="s">
        <v>52</v>
      </c>
      <c r="L63" s="3">
        <v>130000</v>
      </c>
      <c r="M63" s="3">
        <v>104000</v>
      </c>
      <c r="N63" s="1" t="s">
        <v>20</v>
      </c>
      <c r="O63" s="5" t="str" cm="1">
        <f t="array" ref="O63">_xlfn.IFS(Table1[[#This Row],[Age]]&lt;25,"Young",Table1[[#This Row],[Age]]&lt;45,"Adult",Table1[[#This Row],[Age]]&gt;=45,"Old")</f>
        <v>Adult</v>
      </c>
    </row>
    <row r="64" spans="1:15" x14ac:dyDescent="0.25">
      <c r="A64" s="1">
        <v>10169</v>
      </c>
      <c r="B64" s="1" t="s">
        <v>146</v>
      </c>
      <c r="C64" s="1" t="s">
        <v>31</v>
      </c>
      <c r="D64" s="1">
        <v>42</v>
      </c>
      <c r="E64" s="1">
        <v>5</v>
      </c>
      <c r="F64" s="1" t="s">
        <v>954</v>
      </c>
      <c r="G64" s="1" t="s">
        <v>16</v>
      </c>
      <c r="H64" s="1" t="s">
        <v>24</v>
      </c>
      <c r="I64" s="1" t="s">
        <v>18</v>
      </c>
      <c r="J64" s="1">
        <v>20</v>
      </c>
      <c r="K64" s="1" t="s">
        <v>25</v>
      </c>
      <c r="L64" s="3">
        <v>98000</v>
      </c>
      <c r="M64" s="3">
        <v>49000</v>
      </c>
      <c r="N64" s="1" t="s">
        <v>29</v>
      </c>
      <c r="O64" s="5" t="str" cm="1">
        <f t="array" ref="O64">_xlfn.IFS(Table1[[#This Row],[Age]]&lt;25,"Young",Table1[[#This Row],[Age]]&lt;45,"Adult",Table1[[#This Row],[Age]]&gt;=45,"Old")</f>
        <v>Adult</v>
      </c>
    </row>
    <row r="65" spans="1:15" x14ac:dyDescent="0.25">
      <c r="A65" s="1">
        <v>3301</v>
      </c>
      <c r="B65" s="1" t="s">
        <v>147</v>
      </c>
      <c r="C65" s="1" t="s">
        <v>148</v>
      </c>
      <c r="D65" s="1">
        <v>42</v>
      </c>
      <c r="E65" s="1">
        <v>1</v>
      </c>
      <c r="F65" s="1" t="s">
        <v>954</v>
      </c>
      <c r="G65" s="1" t="s">
        <v>35</v>
      </c>
      <c r="H65" s="1" t="s">
        <v>24</v>
      </c>
      <c r="I65" s="1" t="s">
        <v>51</v>
      </c>
      <c r="J65" s="1">
        <v>32</v>
      </c>
      <c r="K65" s="1" t="s">
        <v>25</v>
      </c>
      <c r="L65" s="3">
        <v>98000</v>
      </c>
      <c r="M65" s="3">
        <v>78400</v>
      </c>
      <c r="N65" s="1" t="s">
        <v>20</v>
      </c>
      <c r="O65" s="5" t="str" cm="1">
        <f t="array" ref="O65">_xlfn.IFS(Table1[[#This Row],[Age]]&lt;25,"Young",Table1[[#This Row],[Age]]&lt;45,"Adult",Table1[[#This Row],[Age]]&gt;=45,"Old")</f>
        <v>Adult</v>
      </c>
    </row>
    <row r="66" spans="1:15" x14ac:dyDescent="0.25">
      <c r="A66" s="1">
        <v>8315</v>
      </c>
      <c r="B66" s="1" t="s">
        <v>149</v>
      </c>
      <c r="C66" s="1" t="s">
        <v>150</v>
      </c>
      <c r="D66" s="1">
        <v>61</v>
      </c>
      <c r="E66" s="1">
        <v>13</v>
      </c>
      <c r="F66" s="1" t="s">
        <v>953</v>
      </c>
      <c r="G66" s="1" t="s">
        <v>50</v>
      </c>
      <c r="H66" s="1" t="s">
        <v>64</v>
      </c>
      <c r="I66" s="1" t="s">
        <v>51</v>
      </c>
      <c r="J66" s="1">
        <v>32</v>
      </c>
      <c r="K66" s="1" t="s">
        <v>19</v>
      </c>
      <c r="L66" s="3">
        <v>130562</v>
      </c>
      <c r="M66" s="3">
        <v>104449.60000000001</v>
      </c>
      <c r="N66" s="1" t="s">
        <v>26</v>
      </c>
      <c r="O66" s="5" t="str" cm="1">
        <f t="array" ref="O66">_xlfn.IFS(Table1[[#This Row],[Age]]&lt;25,"Young",Table1[[#This Row],[Age]]&lt;45,"Adult",Table1[[#This Row],[Age]]&gt;=45,"Old")</f>
        <v>Old</v>
      </c>
    </row>
    <row r="67" spans="1:15" x14ac:dyDescent="0.25">
      <c r="A67" s="1">
        <v>3996</v>
      </c>
      <c r="B67" s="1" t="s">
        <v>112</v>
      </c>
      <c r="C67" s="1" t="s">
        <v>151</v>
      </c>
      <c r="D67" s="1">
        <v>28</v>
      </c>
      <c r="E67" s="1">
        <v>0</v>
      </c>
      <c r="F67" s="1" t="s">
        <v>953</v>
      </c>
      <c r="G67" s="1" t="s">
        <v>35</v>
      </c>
      <c r="H67" s="1" t="s">
        <v>24</v>
      </c>
      <c r="I67" s="1" t="s">
        <v>18</v>
      </c>
      <c r="J67" s="1">
        <v>40</v>
      </c>
      <c r="K67" s="1" t="s">
        <v>37</v>
      </c>
      <c r="L67" s="3">
        <v>106021</v>
      </c>
      <c r="M67" s="3">
        <v>106021</v>
      </c>
      <c r="N67" s="1" t="s">
        <v>26</v>
      </c>
      <c r="O67" s="5" t="str" cm="1">
        <f t="array" ref="O67">_xlfn.IFS(Table1[[#This Row],[Age]]&lt;25,"Young",Table1[[#This Row],[Age]]&lt;45,"Adult",Table1[[#This Row],[Age]]&gt;=45,"Old")</f>
        <v>Adult</v>
      </c>
    </row>
    <row r="68" spans="1:15" x14ac:dyDescent="0.25">
      <c r="A68" s="1">
        <v>13142</v>
      </c>
      <c r="B68" s="1" t="s">
        <v>152</v>
      </c>
      <c r="C68" s="1" t="s">
        <v>153</v>
      </c>
      <c r="D68" s="1">
        <v>47</v>
      </c>
      <c r="E68" s="1">
        <v>21</v>
      </c>
      <c r="F68" s="1" t="s">
        <v>954</v>
      </c>
      <c r="G68" s="1" t="s">
        <v>50</v>
      </c>
      <c r="H68" s="1" t="s">
        <v>36</v>
      </c>
      <c r="I68" s="1" t="s">
        <v>18</v>
      </c>
      <c r="J68" s="1">
        <v>20</v>
      </c>
      <c r="K68" s="1" t="s">
        <v>42</v>
      </c>
      <c r="L68" s="3">
        <v>68000</v>
      </c>
      <c r="M68" s="3">
        <v>34000</v>
      </c>
      <c r="N68" s="1" t="s">
        <v>26</v>
      </c>
      <c r="O68" s="5" t="str" cm="1">
        <f t="array" ref="O68">_xlfn.IFS(Table1[[#This Row],[Age]]&lt;25,"Young",Table1[[#This Row],[Age]]&lt;45,"Adult",Table1[[#This Row],[Age]]&gt;=45,"Old")</f>
        <v>Old</v>
      </c>
    </row>
    <row r="69" spans="1:15" x14ac:dyDescent="0.25">
      <c r="A69" s="1">
        <v>9795</v>
      </c>
      <c r="B69" s="1" t="s">
        <v>154</v>
      </c>
      <c r="C69" s="1" t="s">
        <v>155</v>
      </c>
      <c r="D69" s="1">
        <v>46</v>
      </c>
      <c r="E69" s="1">
        <v>15</v>
      </c>
      <c r="F69" s="1" t="s">
        <v>954</v>
      </c>
      <c r="G69" s="1" t="s">
        <v>23</v>
      </c>
      <c r="H69" s="1" t="s">
        <v>64</v>
      </c>
      <c r="I69" s="1" t="s">
        <v>51</v>
      </c>
      <c r="J69" s="1">
        <v>16</v>
      </c>
      <c r="K69" s="1" t="s">
        <v>19</v>
      </c>
      <c r="L69" s="3">
        <v>115000</v>
      </c>
      <c r="M69" s="3">
        <v>46000</v>
      </c>
      <c r="N69" s="1" t="s">
        <v>20</v>
      </c>
      <c r="O69" s="5" t="str" cm="1">
        <f t="array" ref="O69">_xlfn.IFS(Table1[[#This Row],[Age]]&lt;25,"Young",Table1[[#This Row],[Age]]&lt;45,"Adult",Table1[[#This Row],[Age]]&gt;=45,"Old")</f>
        <v>Old</v>
      </c>
    </row>
    <row r="70" spans="1:15" x14ac:dyDescent="0.25">
      <c r="A70" s="1">
        <v>15544</v>
      </c>
      <c r="B70" s="1" t="s">
        <v>156</v>
      </c>
      <c r="C70" s="1" t="s">
        <v>22</v>
      </c>
      <c r="D70" s="1">
        <v>23</v>
      </c>
      <c r="E70" s="1">
        <v>3</v>
      </c>
      <c r="F70" s="1" t="s">
        <v>953</v>
      </c>
      <c r="G70" s="1" t="s">
        <v>16</v>
      </c>
      <c r="H70" s="1" t="s">
        <v>36</v>
      </c>
      <c r="I70" s="1" t="s">
        <v>18</v>
      </c>
      <c r="J70" s="1">
        <v>40</v>
      </c>
      <c r="K70" s="1" t="s">
        <v>37</v>
      </c>
      <c r="L70" s="3">
        <v>107000</v>
      </c>
      <c r="M70" s="3">
        <v>107000</v>
      </c>
      <c r="N70" s="1" t="s">
        <v>26</v>
      </c>
      <c r="O70" s="5" t="str" cm="1">
        <f t="array" ref="O70">_xlfn.IFS(Table1[[#This Row],[Age]]&lt;25,"Young",Table1[[#This Row],[Age]]&lt;45,"Adult",Table1[[#This Row],[Age]]&gt;=45,"Old")</f>
        <v>Young</v>
      </c>
    </row>
    <row r="71" spans="1:15" x14ac:dyDescent="0.25">
      <c r="A71" s="1">
        <v>21517</v>
      </c>
      <c r="B71" s="1" t="s">
        <v>157</v>
      </c>
      <c r="C71" s="1" t="s">
        <v>158</v>
      </c>
      <c r="D71" s="1">
        <v>44</v>
      </c>
      <c r="E71" s="1">
        <v>6</v>
      </c>
      <c r="F71" s="1" t="s">
        <v>953</v>
      </c>
      <c r="G71" s="1" t="s">
        <v>35</v>
      </c>
      <c r="H71" s="1" t="s">
        <v>36</v>
      </c>
      <c r="I71" s="1" t="s">
        <v>18</v>
      </c>
      <c r="J71" s="1">
        <v>40</v>
      </c>
      <c r="K71" s="1" t="s">
        <v>37</v>
      </c>
      <c r="L71" s="3">
        <v>100716</v>
      </c>
      <c r="M71" s="3">
        <v>100716</v>
      </c>
      <c r="N71" s="1" t="s">
        <v>29</v>
      </c>
      <c r="O71" s="5" t="str" cm="1">
        <f t="array" ref="O71">_xlfn.IFS(Table1[[#This Row],[Age]]&lt;25,"Young",Table1[[#This Row],[Age]]&lt;45,"Adult",Table1[[#This Row],[Age]]&gt;=45,"Old")</f>
        <v>Adult</v>
      </c>
    </row>
    <row r="72" spans="1:15" x14ac:dyDescent="0.25">
      <c r="A72" s="1">
        <v>12641</v>
      </c>
      <c r="B72" s="1" t="s">
        <v>159</v>
      </c>
      <c r="C72" s="1" t="s">
        <v>83</v>
      </c>
      <c r="D72" s="1">
        <v>32</v>
      </c>
      <c r="E72" s="1">
        <v>10</v>
      </c>
      <c r="F72" s="1" t="s">
        <v>953</v>
      </c>
      <c r="G72" s="1" t="s">
        <v>50</v>
      </c>
      <c r="H72" s="1" t="s">
        <v>17</v>
      </c>
      <c r="I72" s="1" t="s">
        <v>18</v>
      </c>
      <c r="J72" s="1">
        <v>16</v>
      </c>
      <c r="K72" s="1" t="s">
        <v>37</v>
      </c>
      <c r="L72" s="3">
        <v>100430</v>
      </c>
      <c r="M72" s="3">
        <v>40172</v>
      </c>
      <c r="N72" s="1" t="s">
        <v>26</v>
      </c>
      <c r="O72" s="5" t="str" cm="1">
        <f t="array" ref="O72">_xlfn.IFS(Table1[[#This Row],[Age]]&lt;25,"Young",Table1[[#This Row],[Age]]&lt;45,"Adult",Table1[[#This Row],[Age]]&gt;=45,"Old")</f>
        <v>Adult</v>
      </c>
    </row>
    <row r="73" spans="1:15" x14ac:dyDescent="0.25">
      <c r="A73" s="1">
        <v>6016</v>
      </c>
      <c r="B73" s="1" t="s">
        <v>160</v>
      </c>
      <c r="C73" s="1" t="s">
        <v>161</v>
      </c>
      <c r="D73" s="1">
        <v>34</v>
      </c>
      <c r="E73" s="1">
        <v>1</v>
      </c>
      <c r="F73" s="1" t="s">
        <v>953</v>
      </c>
      <c r="G73" s="1" t="s">
        <v>45</v>
      </c>
      <c r="H73" s="1" t="s">
        <v>32</v>
      </c>
      <c r="I73" s="1" t="s">
        <v>18</v>
      </c>
      <c r="J73" s="1">
        <v>40</v>
      </c>
      <c r="K73" s="1" t="s">
        <v>37</v>
      </c>
      <c r="L73" s="3">
        <v>105117</v>
      </c>
      <c r="M73" s="3">
        <v>105117</v>
      </c>
      <c r="N73" s="1" t="s">
        <v>29</v>
      </c>
      <c r="O73" s="5" t="str" cm="1">
        <f t="array" ref="O73">_xlfn.IFS(Table1[[#This Row],[Age]]&lt;25,"Young",Table1[[#This Row],[Age]]&lt;45,"Adult",Table1[[#This Row],[Age]]&gt;=45,"Old")</f>
        <v>Adult</v>
      </c>
    </row>
    <row r="74" spans="1:15" x14ac:dyDescent="0.25">
      <c r="A74" s="1">
        <v>12817</v>
      </c>
      <c r="B74" s="1" t="s">
        <v>162</v>
      </c>
      <c r="C74" s="1" t="s">
        <v>163</v>
      </c>
      <c r="D74" s="1">
        <v>38</v>
      </c>
      <c r="E74" s="1">
        <v>10</v>
      </c>
      <c r="F74" s="1" t="s">
        <v>953</v>
      </c>
      <c r="G74" s="1" t="s">
        <v>23</v>
      </c>
      <c r="H74" s="1" t="s">
        <v>36</v>
      </c>
      <c r="I74" s="1" t="s">
        <v>18</v>
      </c>
      <c r="J74" s="1">
        <v>20</v>
      </c>
      <c r="K74" s="1" t="s">
        <v>25</v>
      </c>
      <c r="L74" s="3">
        <v>105840</v>
      </c>
      <c r="M74" s="3">
        <v>52920</v>
      </c>
      <c r="N74" s="1" t="s">
        <v>29</v>
      </c>
      <c r="O74" s="5" t="str" cm="1">
        <f t="array" ref="O74">_xlfn.IFS(Table1[[#This Row],[Age]]&lt;25,"Young",Table1[[#This Row],[Age]]&lt;45,"Adult",Table1[[#This Row],[Age]]&gt;=45,"Old")</f>
        <v>Adult</v>
      </c>
    </row>
    <row r="75" spans="1:15" x14ac:dyDescent="0.25">
      <c r="A75" s="1">
        <v>12328</v>
      </c>
      <c r="B75" s="1" t="s">
        <v>72</v>
      </c>
      <c r="C75" s="1" t="s">
        <v>164</v>
      </c>
      <c r="D75" s="1">
        <v>49</v>
      </c>
      <c r="E75" s="1">
        <v>5</v>
      </c>
      <c r="F75" s="1" t="s">
        <v>953</v>
      </c>
      <c r="G75" s="1" t="s">
        <v>23</v>
      </c>
      <c r="H75" s="1" t="s">
        <v>17</v>
      </c>
      <c r="I75" s="1" t="s">
        <v>18</v>
      </c>
      <c r="J75" s="1">
        <v>20</v>
      </c>
      <c r="K75" s="1" t="s">
        <v>25</v>
      </c>
      <c r="L75" s="3">
        <v>122000</v>
      </c>
      <c r="M75" s="3">
        <v>61000</v>
      </c>
      <c r="N75" s="1" t="s">
        <v>26</v>
      </c>
      <c r="O75" s="5" t="str" cm="1">
        <f t="array" ref="O75">_xlfn.IFS(Table1[[#This Row],[Age]]&lt;25,"Young",Table1[[#This Row],[Age]]&lt;45,"Adult",Table1[[#This Row],[Age]]&gt;=45,"Old")</f>
        <v>Old</v>
      </c>
    </row>
    <row r="76" spans="1:15" x14ac:dyDescent="0.25">
      <c r="A76" s="1">
        <v>7552</v>
      </c>
      <c r="B76" s="1" t="s">
        <v>165</v>
      </c>
      <c r="C76" s="1" t="s">
        <v>166</v>
      </c>
      <c r="D76" s="1">
        <v>57</v>
      </c>
      <c r="E76" s="1">
        <v>19</v>
      </c>
      <c r="F76" s="1" t="s">
        <v>954</v>
      </c>
      <c r="G76" s="1" t="s">
        <v>35</v>
      </c>
      <c r="H76" s="1" t="s">
        <v>36</v>
      </c>
      <c r="I76" s="1" t="s">
        <v>18</v>
      </c>
      <c r="J76" s="1">
        <v>32</v>
      </c>
      <c r="K76" s="1" t="s">
        <v>25</v>
      </c>
      <c r="L76" s="3">
        <v>98000</v>
      </c>
      <c r="M76" s="3">
        <v>78400</v>
      </c>
      <c r="N76" s="1" t="s">
        <v>20</v>
      </c>
      <c r="O76" s="5" t="str" cm="1">
        <f t="array" ref="O76">_xlfn.IFS(Table1[[#This Row],[Age]]&lt;25,"Young",Table1[[#This Row],[Age]]&lt;45,"Adult",Table1[[#This Row],[Age]]&gt;=45,"Old")</f>
        <v>Old</v>
      </c>
    </row>
    <row r="77" spans="1:15" x14ac:dyDescent="0.25">
      <c r="A77" s="1">
        <v>22647</v>
      </c>
      <c r="B77" s="1" t="s">
        <v>167</v>
      </c>
      <c r="C77" s="1" t="s">
        <v>168</v>
      </c>
      <c r="D77" s="1">
        <v>24</v>
      </c>
      <c r="E77" s="1">
        <v>3</v>
      </c>
      <c r="F77" s="1" t="s">
        <v>954</v>
      </c>
      <c r="G77" s="1" t="s">
        <v>50</v>
      </c>
      <c r="H77" s="1" t="s">
        <v>64</v>
      </c>
      <c r="I77" s="1" t="s">
        <v>18</v>
      </c>
      <c r="J77" s="1">
        <v>20</v>
      </c>
      <c r="K77" s="1" t="s">
        <v>25</v>
      </c>
      <c r="L77" s="3">
        <v>98000</v>
      </c>
      <c r="M77" s="3">
        <v>49000</v>
      </c>
      <c r="N77" s="1" t="s">
        <v>20</v>
      </c>
      <c r="O77" s="5" t="str" cm="1">
        <f t="array" ref="O77">_xlfn.IFS(Table1[[#This Row],[Age]]&lt;25,"Young",Table1[[#This Row],[Age]]&lt;45,"Adult",Table1[[#This Row],[Age]]&gt;=45,"Old")</f>
        <v>Young</v>
      </c>
    </row>
    <row r="78" spans="1:15" x14ac:dyDescent="0.25">
      <c r="A78" s="1">
        <v>9435</v>
      </c>
      <c r="B78" s="1" t="s">
        <v>169</v>
      </c>
      <c r="C78" s="1" t="s">
        <v>170</v>
      </c>
      <c r="D78" s="1">
        <v>34</v>
      </c>
      <c r="E78" s="1">
        <v>12</v>
      </c>
      <c r="F78" s="1" t="s">
        <v>954</v>
      </c>
      <c r="G78" s="1" t="s">
        <v>35</v>
      </c>
      <c r="H78" s="1" t="s">
        <v>36</v>
      </c>
      <c r="I78" s="1" t="s">
        <v>18</v>
      </c>
      <c r="J78" s="1">
        <v>20</v>
      </c>
      <c r="K78" s="1" t="s">
        <v>25</v>
      </c>
      <c r="L78" s="3">
        <v>98000</v>
      </c>
      <c r="M78" s="3">
        <v>49000</v>
      </c>
      <c r="N78" s="1" t="s">
        <v>29</v>
      </c>
      <c r="O78" s="5" t="str" cm="1">
        <f t="array" ref="O78">_xlfn.IFS(Table1[[#This Row],[Age]]&lt;25,"Young",Table1[[#This Row],[Age]]&lt;45,"Adult",Table1[[#This Row],[Age]]&gt;=45,"Old")</f>
        <v>Adult</v>
      </c>
    </row>
    <row r="79" spans="1:15" x14ac:dyDescent="0.25">
      <c r="A79" s="1">
        <v>21921</v>
      </c>
      <c r="B79" s="1" t="s">
        <v>171</v>
      </c>
      <c r="C79" s="1" t="s">
        <v>172</v>
      </c>
      <c r="D79" s="1">
        <v>44</v>
      </c>
      <c r="E79" s="1">
        <v>20</v>
      </c>
      <c r="F79" s="1" t="s">
        <v>953</v>
      </c>
      <c r="G79" s="1" t="s">
        <v>50</v>
      </c>
      <c r="H79" s="1" t="s">
        <v>24</v>
      </c>
      <c r="I79" s="1" t="s">
        <v>51</v>
      </c>
      <c r="J79" s="1">
        <v>32</v>
      </c>
      <c r="K79" s="1" t="s">
        <v>25</v>
      </c>
      <c r="L79" s="3">
        <v>114326</v>
      </c>
      <c r="M79" s="3">
        <v>91460.800000000003</v>
      </c>
      <c r="N79" s="1" t="s">
        <v>29</v>
      </c>
      <c r="O79" s="5" t="str" cm="1">
        <f t="array" ref="O79">_xlfn.IFS(Table1[[#This Row],[Age]]&lt;25,"Young",Table1[[#This Row],[Age]]&lt;45,"Adult",Table1[[#This Row],[Age]]&gt;=45,"Old")</f>
        <v>Adult</v>
      </c>
    </row>
    <row r="80" spans="1:15" x14ac:dyDescent="0.25">
      <c r="A80" s="1">
        <v>3026</v>
      </c>
      <c r="B80" s="1" t="s">
        <v>173</v>
      </c>
      <c r="C80" s="1" t="s">
        <v>174</v>
      </c>
      <c r="D80" s="1">
        <v>52</v>
      </c>
      <c r="E80" s="1">
        <v>19</v>
      </c>
      <c r="F80" s="1" t="s">
        <v>954</v>
      </c>
      <c r="G80" s="1" t="s">
        <v>50</v>
      </c>
      <c r="H80" s="1" t="s">
        <v>36</v>
      </c>
      <c r="I80" s="1" t="s">
        <v>18</v>
      </c>
      <c r="J80" s="1">
        <v>32</v>
      </c>
      <c r="K80" s="1" t="s">
        <v>42</v>
      </c>
      <c r="L80" s="3">
        <v>68000</v>
      </c>
      <c r="M80" s="3">
        <v>54400</v>
      </c>
      <c r="N80" s="1" t="s">
        <v>20</v>
      </c>
      <c r="O80" s="5" t="str" cm="1">
        <f t="array" ref="O80">_xlfn.IFS(Table1[[#This Row],[Age]]&lt;25,"Young",Table1[[#This Row],[Age]]&lt;45,"Adult",Table1[[#This Row],[Age]]&gt;=45,"Old")</f>
        <v>Old</v>
      </c>
    </row>
    <row r="81" spans="1:15" x14ac:dyDescent="0.25">
      <c r="A81" s="1">
        <v>20647</v>
      </c>
      <c r="B81" s="1" t="s">
        <v>175</v>
      </c>
      <c r="C81" s="1" t="s">
        <v>176</v>
      </c>
      <c r="D81" s="1">
        <v>41</v>
      </c>
      <c r="E81" s="1">
        <v>4</v>
      </c>
      <c r="F81" s="1" t="s">
        <v>953</v>
      </c>
      <c r="G81" s="1" t="s">
        <v>50</v>
      </c>
      <c r="H81" s="1" t="s">
        <v>36</v>
      </c>
      <c r="I81" s="1" t="s">
        <v>18</v>
      </c>
      <c r="J81" s="1">
        <v>40</v>
      </c>
      <c r="K81" s="1" t="s">
        <v>37</v>
      </c>
      <c r="L81" s="3">
        <v>103887</v>
      </c>
      <c r="M81" s="3">
        <v>103887</v>
      </c>
      <c r="N81" s="1" t="s">
        <v>26</v>
      </c>
      <c r="O81" s="5" t="str" cm="1">
        <f t="array" ref="O81">_xlfn.IFS(Table1[[#This Row],[Age]]&lt;25,"Young",Table1[[#This Row],[Age]]&lt;45,"Adult",Table1[[#This Row],[Age]]&gt;=45,"Old")</f>
        <v>Adult</v>
      </c>
    </row>
    <row r="82" spans="1:15" x14ac:dyDescent="0.25">
      <c r="A82" s="1">
        <v>21493</v>
      </c>
      <c r="B82" s="1" t="s">
        <v>154</v>
      </c>
      <c r="C82" s="1" t="s">
        <v>177</v>
      </c>
      <c r="D82" s="1">
        <v>49</v>
      </c>
      <c r="E82" s="1">
        <v>28</v>
      </c>
      <c r="F82" s="1" t="s">
        <v>953</v>
      </c>
      <c r="G82" s="1" t="s">
        <v>50</v>
      </c>
      <c r="H82" s="1" t="s">
        <v>36</v>
      </c>
      <c r="I82" s="1" t="s">
        <v>18</v>
      </c>
      <c r="J82" s="1">
        <v>40</v>
      </c>
      <c r="K82" s="1" t="s">
        <v>37</v>
      </c>
      <c r="L82" s="3">
        <v>107000</v>
      </c>
      <c r="M82" s="3">
        <v>107000</v>
      </c>
      <c r="N82" s="1" t="s">
        <v>26</v>
      </c>
      <c r="O82" s="5" t="str" cm="1">
        <f t="array" ref="O82">_xlfn.IFS(Table1[[#This Row],[Age]]&lt;25,"Young",Table1[[#This Row],[Age]]&lt;45,"Adult",Table1[[#This Row],[Age]]&gt;=45,"Old")</f>
        <v>Old</v>
      </c>
    </row>
    <row r="83" spans="1:15" x14ac:dyDescent="0.25">
      <c r="A83" s="1">
        <v>6294</v>
      </c>
      <c r="B83" s="1" t="s">
        <v>178</v>
      </c>
      <c r="C83" s="1" t="s">
        <v>179</v>
      </c>
      <c r="D83" s="1">
        <v>37</v>
      </c>
      <c r="E83" s="1">
        <v>8</v>
      </c>
      <c r="F83" s="1" t="s">
        <v>953</v>
      </c>
      <c r="G83" s="1" t="s">
        <v>35</v>
      </c>
      <c r="H83" s="1" t="s">
        <v>32</v>
      </c>
      <c r="I83" s="1" t="s">
        <v>18</v>
      </c>
      <c r="J83" s="1">
        <v>40</v>
      </c>
      <c r="K83" s="1" t="s">
        <v>37</v>
      </c>
      <c r="L83" s="3">
        <v>107000</v>
      </c>
      <c r="M83" s="3">
        <v>107000</v>
      </c>
      <c r="N83" s="1" t="s">
        <v>26</v>
      </c>
      <c r="O83" s="5" t="str" cm="1">
        <f t="array" ref="O83">_xlfn.IFS(Table1[[#This Row],[Age]]&lt;25,"Young",Table1[[#This Row],[Age]]&lt;45,"Adult",Table1[[#This Row],[Age]]&gt;=45,"Old")</f>
        <v>Adult</v>
      </c>
    </row>
    <row r="84" spans="1:15" x14ac:dyDescent="0.25">
      <c r="A84" s="1">
        <v>18189</v>
      </c>
      <c r="B84" s="1" t="s">
        <v>180</v>
      </c>
      <c r="C84" s="1" t="s">
        <v>181</v>
      </c>
      <c r="D84" s="1">
        <v>56</v>
      </c>
      <c r="E84" s="1">
        <v>7</v>
      </c>
      <c r="F84" s="1" t="s">
        <v>954</v>
      </c>
      <c r="G84" s="1" t="s">
        <v>50</v>
      </c>
      <c r="H84" s="1" t="s">
        <v>36</v>
      </c>
      <c r="I84" s="1" t="s">
        <v>18</v>
      </c>
      <c r="J84" s="1">
        <v>20</v>
      </c>
      <c r="K84" s="1" t="s">
        <v>25</v>
      </c>
      <c r="L84" s="3">
        <v>98000</v>
      </c>
      <c r="M84" s="3">
        <v>49000</v>
      </c>
      <c r="N84" s="1" t="s">
        <v>20</v>
      </c>
      <c r="O84" s="5" t="str" cm="1">
        <f t="array" ref="O84">_xlfn.IFS(Table1[[#This Row],[Age]]&lt;25,"Young",Table1[[#This Row],[Age]]&lt;45,"Adult",Table1[[#This Row],[Age]]&gt;=45,"Old")</f>
        <v>Old</v>
      </c>
    </row>
    <row r="85" spans="1:15" x14ac:dyDescent="0.25">
      <c r="A85" s="1">
        <v>8708</v>
      </c>
      <c r="B85" s="1" t="s">
        <v>182</v>
      </c>
      <c r="C85" s="1" t="s">
        <v>183</v>
      </c>
      <c r="D85" s="1">
        <v>38</v>
      </c>
      <c r="E85" s="1">
        <v>15</v>
      </c>
      <c r="F85" s="1" t="s">
        <v>953</v>
      </c>
      <c r="G85" s="1" t="s">
        <v>16</v>
      </c>
      <c r="H85" s="1" t="s">
        <v>32</v>
      </c>
      <c r="I85" s="1" t="s">
        <v>18</v>
      </c>
      <c r="J85" s="1">
        <v>40</v>
      </c>
      <c r="K85" s="1" t="s">
        <v>37</v>
      </c>
      <c r="L85" s="3">
        <v>107000</v>
      </c>
      <c r="M85" s="3">
        <v>107000</v>
      </c>
      <c r="N85" s="1" t="s">
        <v>26</v>
      </c>
      <c r="O85" s="5" t="str" cm="1">
        <f t="array" ref="O85">_xlfn.IFS(Table1[[#This Row],[Age]]&lt;25,"Young",Table1[[#This Row],[Age]]&lt;45,"Adult",Table1[[#This Row],[Age]]&gt;=45,"Old")</f>
        <v>Adult</v>
      </c>
    </row>
    <row r="86" spans="1:15" x14ac:dyDescent="0.25">
      <c r="A86" s="1">
        <v>6041</v>
      </c>
      <c r="B86" s="1" t="s">
        <v>21</v>
      </c>
      <c r="C86" s="1" t="s">
        <v>184</v>
      </c>
      <c r="D86" s="1">
        <v>40</v>
      </c>
      <c r="E86" s="1">
        <v>5</v>
      </c>
      <c r="F86" s="1" t="s">
        <v>953</v>
      </c>
      <c r="G86" s="1" t="s">
        <v>45</v>
      </c>
      <c r="H86" s="1" t="s">
        <v>32</v>
      </c>
      <c r="I86" s="1" t="s">
        <v>18</v>
      </c>
      <c r="J86" s="1">
        <v>40</v>
      </c>
      <c r="K86" s="1" t="s">
        <v>25</v>
      </c>
      <c r="L86" s="3">
        <v>109516</v>
      </c>
      <c r="M86" s="3">
        <v>109516</v>
      </c>
      <c r="N86" s="1" t="s">
        <v>29</v>
      </c>
      <c r="O86" s="5" t="str" cm="1">
        <f t="array" ref="O86">_xlfn.IFS(Table1[[#This Row],[Age]]&lt;25,"Young",Table1[[#This Row],[Age]]&lt;45,"Adult",Table1[[#This Row],[Age]]&gt;=45,"Old")</f>
        <v>Adult</v>
      </c>
    </row>
    <row r="87" spans="1:15" x14ac:dyDescent="0.25">
      <c r="A87" s="1">
        <v>15834</v>
      </c>
      <c r="B87" s="1" t="s">
        <v>185</v>
      </c>
      <c r="C87" s="1" t="s">
        <v>186</v>
      </c>
      <c r="D87" s="1">
        <v>34</v>
      </c>
      <c r="E87" s="1">
        <v>5</v>
      </c>
      <c r="F87" s="1" t="s">
        <v>954</v>
      </c>
      <c r="G87" s="1" t="s">
        <v>35</v>
      </c>
      <c r="H87" s="1" t="s">
        <v>64</v>
      </c>
      <c r="I87" s="1" t="s">
        <v>18</v>
      </c>
      <c r="J87" s="1">
        <v>24</v>
      </c>
      <c r="K87" s="1" t="s">
        <v>52</v>
      </c>
      <c r="L87" s="3">
        <v>130000</v>
      </c>
      <c r="M87" s="3">
        <v>78000</v>
      </c>
      <c r="N87" s="1" t="s">
        <v>29</v>
      </c>
      <c r="O87" s="5" t="str" cm="1">
        <f t="array" ref="O87">_xlfn.IFS(Table1[[#This Row],[Age]]&lt;25,"Young",Table1[[#This Row],[Age]]&lt;45,"Adult",Table1[[#This Row],[Age]]&gt;=45,"Old")</f>
        <v>Adult</v>
      </c>
    </row>
    <row r="88" spans="1:15" x14ac:dyDescent="0.25">
      <c r="A88" s="1">
        <v>13120</v>
      </c>
      <c r="B88" s="1" t="s">
        <v>187</v>
      </c>
      <c r="C88" s="1" t="s">
        <v>188</v>
      </c>
      <c r="D88" s="1">
        <v>45</v>
      </c>
      <c r="E88" s="1">
        <v>14</v>
      </c>
      <c r="F88" s="1" t="s">
        <v>954</v>
      </c>
      <c r="G88" s="1" t="s">
        <v>45</v>
      </c>
      <c r="H88" s="1" t="s">
        <v>17</v>
      </c>
      <c r="I88" s="1" t="s">
        <v>51</v>
      </c>
      <c r="J88" s="1">
        <v>8</v>
      </c>
      <c r="K88" s="1" t="s">
        <v>19</v>
      </c>
      <c r="L88" s="3">
        <v>115000</v>
      </c>
      <c r="M88" s="3">
        <v>23000</v>
      </c>
      <c r="N88" s="1" t="s">
        <v>20</v>
      </c>
      <c r="O88" s="5" t="str" cm="1">
        <f t="array" ref="O88">_xlfn.IFS(Table1[[#This Row],[Age]]&lt;25,"Young",Table1[[#This Row],[Age]]&lt;45,"Adult",Table1[[#This Row],[Age]]&gt;=45,"Old")</f>
        <v>Old</v>
      </c>
    </row>
    <row r="89" spans="1:15" x14ac:dyDescent="0.25">
      <c r="A89" s="1">
        <v>9532</v>
      </c>
      <c r="B89" s="1" t="s">
        <v>189</v>
      </c>
      <c r="C89" s="1" t="s">
        <v>190</v>
      </c>
      <c r="D89" s="1">
        <v>32</v>
      </c>
      <c r="E89" s="1">
        <v>11</v>
      </c>
      <c r="F89" s="1" t="s">
        <v>953</v>
      </c>
      <c r="G89" s="1" t="s">
        <v>23</v>
      </c>
      <c r="H89" s="1" t="s">
        <v>36</v>
      </c>
      <c r="I89" s="1" t="s">
        <v>18</v>
      </c>
      <c r="J89" s="1">
        <v>40</v>
      </c>
      <c r="K89" s="1" t="s">
        <v>37</v>
      </c>
      <c r="L89" s="3">
        <v>103172</v>
      </c>
      <c r="M89" s="3">
        <v>103172</v>
      </c>
      <c r="N89" s="1" t="s">
        <v>26</v>
      </c>
      <c r="O89" s="5" t="str" cm="1">
        <f t="array" ref="O89">_xlfn.IFS(Table1[[#This Row],[Age]]&lt;25,"Young",Table1[[#This Row],[Age]]&lt;45,"Adult",Table1[[#This Row],[Age]]&gt;=45,"Old")</f>
        <v>Adult</v>
      </c>
    </row>
    <row r="90" spans="1:15" x14ac:dyDescent="0.25">
      <c r="A90" s="1">
        <v>21658</v>
      </c>
      <c r="B90" s="1" t="s">
        <v>38</v>
      </c>
      <c r="C90" s="1" t="s">
        <v>191</v>
      </c>
      <c r="D90" s="1">
        <v>36</v>
      </c>
      <c r="E90" s="1">
        <v>13</v>
      </c>
      <c r="F90" s="1" t="s">
        <v>954</v>
      </c>
      <c r="G90" s="1" t="s">
        <v>35</v>
      </c>
      <c r="H90" s="1" t="s">
        <v>192</v>
      </c>
      <c r="I90" s="1" t="s">
        <v>18</v>
      </c>
      <c r="J90" s="1">
        <v>32</v>
      </c>
      <c r="K90" s="1" t="s">
        <v>52</v>
      </c>
      <c r="L90" s="3">
        <v>130000</v>
      </c>
      <c r="M90" s="3">
        <v>104000</v>
      </c>
      <c r="N90" s="1" t="s">
        <v>29</v>
      </c>
      <c r="O90" s="5" t="str" cm="1">
        <f t="array" ref="O90">_xlfn.IFS(Table1[[#This Row],[Age]]&lt;25,"Young",Table1[[#This Row],[Age]]&lt;45,"Adult",Table1[[#This Row],[Age]]&gt;=45,"Old")</f>
        <v>Adult</v>
      </c>
    </row>
    <row r="91" spans="1:15" x14ac:dyDescent="0.25">
      <c r="A91" s="1">
        <v>18937</v>
      </c>
      <c r="B91" s="1" t="s">
        <v>193</v>
      </c>
      <c r="C91" s="1" t="s">
        <v>194</v>
      </c>
      <c r="D91" s="1">
        <v>25</v>
      </c>
      <c r="E91" s="1">
        <v>5</v>
      </c>
      <c r="F91" s="1" t="s">
        <v>953</v>
      </c>
      <c r="G91" s="1" t="s">
        <v>45</v>
      </c>
      <c r="H91" s="1" t="s">
        <v>24</v>
      </c>
      <c r="I91" s="1" t="s">
        <v>18</v>
      </c>
      <c r="J91" s="1">
        <v>40</v>
      </c>
      <c r="K91" s="1" t="s">
        <v>25</v>
      </c>
      <c r="L91" s="3">
        <v>111931</v>
      </c>
      <c r="M91" s="3">
        <v>111931</v>
      </c>
      <c r="N91" s="1" t="s">
        <v>26</v>
      </c>
      <c r="O91" s="5" t="str" cm="1">
        <f t="array" ref="O91">_xlfn.IFS(Table1[[#This Row],[Age]]&lt;25,"Young",Table1[[#This Row],[Age]]&lt;45,"Adult",Table1[[#This Row],[Age]]&gt;=45,"Old")</f>
        <v>Adult</v>
      </c>
    </row>
    <row r="92" spans="1:15" x14ac:dyDescent="0.25">
      <c r="A92" s="1">
        <v>7883</v>
      </c>
      <c r="B92" s="1" t="s">
        <v>195</v>
      </c>
      <c r="C92" s="1" t="s">
        <v>196</v>
      </c>
      <c r="D92" s="1">
        <v>51</v>
      </c>
      <c r="E92" s="1">
        <v>24</v>
      </c>
      <c r="F92" s="1" t="s">
        <v>953</v>
      </c>
      <c r="G92" s="1" t="s">
        <v>35</v>
      </c>
      <c r="H92" s="1" t="s">
        <v>32</v>
      </c>
      <c r="I92" s="1" t="s">
        <v>51</v>
      </c>
      <c r="J92" s="1">
        <v>32</v>
      </c>
      <c r="K92" s="1" t="s">
        <v>42</v>
      </c>
      <c r="L92" s="3">
        <v>79811</v>
      </c>
      <c r="M92" s="3">
        <v>63848.800000000003</v>
      </c>
      <c r="N92" s="1" t="s">
        <v>29</v>
      </c>
      <c r="O92" s="5" t="str" cm="1">
        <f t="array" ref="O92">_xlfn.IFS(Table1[[#This Row],[Age]]&lt;25,"Young",Table1[[#This Row],[Age]]&lt;45,"Adult",Table1[[#This Row],[Age]]&gt;=45,"Old")</f>
        <v>Old</v>
      </c>
    </row>
    <row r="93" spans="1:15" x14ac:dyDescent="0.25">
      <c r="A93" s="1">
        <v>11313</v>
      </c>
      <c r="B93" s="1" t="s">
        <v>62</v>
      </c>
      <c r="C93" s="1" t="s">
        <v>197</v>
      </c>
      <c r="D93" s="1">
        <v>44</v>
      </c>
      <c r="E93" s="1">
        <v>10</v>
      </c>
      <c r="F93" s="1" t="s">
        <v>954</v>
      </c>
      <c r="G93" s="1" t="s">
        <v>35</v>
      </c>
      <c r="H93" s="1" t="s">
        <v>32</v>
      </c>
      <c r="I93" s="1" t="s">
        <v>51</v>
      </c>
      <c r="J93" s="1">
        <v>24</v>
      </c>
      <c r="K93" s="1" t="s">
        <v>42</v>
      </c>
      <c r="L93" s="3">
        <v>68000</v>
      </c>
      <c r="M93" s="3">
        <v>40800</v>
      </c>
      <c r="N93" s="1" t="s">
        <v>20</v>
      </c>
      <c r="O93" s="5" t="str" cm="1">
        <f t="array" ref="O93">_xlfn.IFS(Table1[[#This Row],[Age]]&lt;25,"Young",Table1[[#This Row],[Age]]&lt;45,"Adult",Table1[[#This Row],[Age]]&gt;=45,"Old")</f>
        <v>Adult</v>
      </c>
    </row>
    <row r="94" spans="1:15" x14ac:dyDescent="0.25">
      <c r="A94" s="1">
        <v>2519</v>
      </c>
      <c r="B94" s="1" t="s">
        <v>198</v>
      </c>
      <c r="C94" s="1" t="s">
        <v>199</v>
      </c>
      <c r="D94" s="1">
        <v>32</v>
      </c>
      <c r="E94" s="1">
        <v>1</v>
      </c>
      <c r="F94" s="1" t="s">
        <v>954</v>
      </c>
      <c r="G94" s="1" t="s">
        <v>45</v>
      </c>
      <c r="H94" s="1" t="s">
        <v>24</v>
      </c>
      <c r="I94" s="1" t="s">
        <v>18</v>
      </c>
      <c r="J94" s="1">
        <v>40</v>
      </c>
      <c r="K94" s="1" t="s">
        <v>19</v>
      </c>
      <c r="L94" s="3">
        <v>119100</v>
      </c>
      <c r="M94" s="3">
        <v>119100</v>
      </c>
      <c r="N94" s="1" t="s">
        <v>26</v>
      </c>
      <c r="O94" s="5" t="str" cm="1">
        <f t="array" ref="O94">_xlfn.IFS(Table1[[#This Row],[Age]]&lt;25,"Young",Table1[[#This Row],[Age]]&lt;45,"Adult",Table1[[#This Row],[Age]]&gt;=45,"Old")</f>
        <v>Adult</v>
      </c>
    </row>
    <row r="95" spans="1:15" x14ac:dyDescent="0.25">
      <c r="A95" s="1">
        <v>8192</v>
      </c>
      <c r="B95" s="1" t="s">
        <v>60</v>
      </c>
      <c r="C95" s="1" t="s">
        <v>200</v>
      </c>
      <c r="D95" s="1">
        <v>40</v>
      </c>
      <c r="E95" s="1">
        <v>6</v>
      </c>
      <c r="F95" s="1" t="s">
        <v>954</v>
      </c>
      <c r="G95" s="1" t="s">
        <v>35</v>
      </c>
      <c r="H95" s="1" t="s">
        <v>36</v>
      </c>
      <c r="I95" s="1" t="s">
        <v>51</v>
      </c>
      <c r="J95" s="1">
        <v>24</v>
      </c>
      <c r="K95" s="1" t="s">
        <v>42</v>
      </c>
      <c r="L95" s="3">
        <v>68000</v>
      </c>
      <c r="M95" s="3">
        <v>40800</v>
      </c>
      <c r="N95" s="1" t="s">
        <v>20</v>
      </c>
      <c r="O95" s="5" t="str" cm="1">
        <f t="array" ref="O95">_xlfn.IFS(Table1[[#This Row],[Age]]&lt;25,"Young",Table1[[#This Row],[Age]]&lt;45,"Adult",Table1[[#This Row],[Age]]&gt;=45,"Old")</f>
        <v>Adult</v>
      </c>
    </row>
    <row r="96" spans="1:15" x14ac:dyDescent="0.25">
      <c r="A96" s="1">
        <v>1738</v>
      </c>
      <c r="B96" s="1" t="s">
        <v>201</v>
      </c>
      <c r="C96" s="1" t="s">
        <v>202</v>
      </c>
      <c r="D96" s="1">
        <v>33</v>
      </c>
      <c r="E96" s="1">
        <v>6</v>
      </c>
      <c r="F96" s="1" t="s">
        <v>954</v>
      </c>
      <c r="G96" s="1" t="s">
        <v>45</v>
      </c>
      <c r="H96" s="1" t="s">
        <v>24</v>
      </c>
      <c r="I96" s="1" t="s">
        <v>18</v>
      </c>
      <c r="J96" s="1">
        <v>20</v>
      </c>
      <c r="K96" s="1" t="s">
        <v>25</v>
      </c>
      <c r="L96" s="3">
        <v>103930</v>
      </c>
      <c r="M96" s="3">
        <v>51965</v>
      </c>
      <c r="N96" s="1" t="s">
        <v>29</v>
      </c>
      <c r="O96" s="5" t="str" cm="1">
        <f t="array" ref="O96">_xlfn.IFS(Table1[[#This Row],[Age]]&lt;25,"Young",Table1[[#This Row],[Age]]&lt;45,"Adult",Table1[[#This Row],[Age]]&gt;=45,"Old")</f>
        <v>Adult</v>
      </c>
    </row>
    <row r="97" spans="1:15" x14ac:dyDescent="0.25">
      <c r="A97" s="1">
        <v>11023</v>
      </c>
      <c r="B97" s="1" t="s">
        <v>46</v>
      </c>
      <c r="C97" s="1" t="s">
        <v>203</v>
      </c>
      <c r="D97" s="1">
        <v>44</v>
      </c>
      <c r="E97" s="1">
        <v>4</v>
      </c>
      <c r="F97" s="1" t="s">
        <v>953</v>
      </c>
      <c r="G97" s="1" t="s">
        <v>23</v>
      </c>
      <c r="H97" s="1" t="s">
        <v>32</v>
      </c>
      <c r="I97" s="1" t="s">
        <v>18</v>
      </c>
      <c r="J97" s="1">
        <v>40</v>
      </c>
      <c r="K97" s="1" t="s">
        <v>25</v>
      </c>
      <c r="L97" s="3">
        <v>110619</v>
      </c>
      <c r="M97" s="3">
        <v>110619</v>
      </c>
      <c r="N97" s="1" t="s">
        <v>29</v>
      </c>
      <c r="O97" s="5" t="str" cm="1">
        <f t="array" ref="O97">_xlfn.IFS(Table1[[#This Row],[Age]]&lt;25,"Young",Table1[[#This Row],[Age]]&lt;45,"Adult",Table1[[#This Row],[Age]]&gt;=45,"Old")</f>
        <v>Adult</v>
      </c>
    </row>
    <row r="98" spans="1:15" x14ac:dyDescent="0.25">
      <c r="A98" s="1">
        <v>13832</v>
      </c>
      <c r="B98" s="1" t="s">
        <v>21</v>
      </c>
      <c r="C98" s="1" t="s">
        <v>22</v>
      </c>
      <c r="D98" s="1">
        <v>64</v>
      </c>
      <c r="E98" s="1">
        <v>12</v>
      </c>
      <c r="F98" s="1" t="s">
        <v>953</v>
      </c>
      <c r="G98" s="1" t="s">
        <v>50</v>
      </c>
      <c r="H98" s="1" t="s">
        <v>32</v>
      </c>
      <c r="I98" s="1" t="s">
        <v>51</v>
      </c>
      <c r="J98" s="1">
        <v>20</v>
      </c>
      <c r="K98" s="1" t="s">
        <v>42</v>
      </c>
      <c r="L98" s="3">
        <v>73440</v>
      </c>
      <c r="M98" s="3">
        <v>36720</v>
      </c>
      <c r="N98" s="1" t="s">
        <v>20</v>
      </c>
      <c r="O98" s="5" t="str" cm="1">
        <f t="array" ref="O98">_xlfn.IFS(Table1[[#This Row],[Age]]&lt;25,"Young",Table1[[#This Row],[Age]]&lt;45,"Adult",Table1[[#This Row],[Age]]&gt;=45,"Old")</f>
        <v>Old</v>
      </c>
    </row>
    <row r="99" spans="1:15" x14ac:dyDescent="0.25">
      <c r="A99" s="1">
        <v>9460</v>
      </c>
      <c r="B99" s="1" t="s">
        <v>204</v>
      </c>
      <c r="C99" s="1" t="s">
        <v>205</v>
      </c>
      <c r="D99" s="1">
        <v>44</v>
      </c>
      <c r="E99" s="1">
        <v>14</v>
      </c>
      <c r="F99" s="1" t="s">
        <v>953</v>
      </c>
      <c r="G99" s="1" t="s">
        <v>16</v>
      </c>
      <c r="H99" s="1" t="s">
        <v>36</v>
      </c>
      <c r="I99" s="1" t="s">
        <v>18</v>
      </c>
      <c r="J99" s="1">
        <v>40</v>
      </c>
      <c r="K99" s="1" t="s">
        <v>19</v>
      </c>
      <c r="L99" s="3">
        <v>138000</v>
      </c>
      <c r="M99" s="3">
        <v>138000</v>
      </c>
      <c r="N99" s="1" t="s">
        <v>29</v>
      </c>
      <c r="O99" s="5" t="str" cm="1">
        <f t="array" ref="O99">_xlfn.IFS(Table1[[#This Row],[Age]]&lt;25,"Young",Table1[[#This Row],[Age]]&lt;45,"Adult",Table1[[#This Row],[Age]]&gt;=45,"Old")</f>
        <v>Adult</v>
      </c>
    </row>
    <row r="100" spans="1:15" x14ac:dyDescent="0.25">
      <c r="A100" s="1">
        <v>2855</v>
      </c>
      <c r="B100" s="1" t="s">
        <v>206</v>
      </c>
      <c r="C100" s="1" t="s">
        <v>207</v>
      </c>
      <c r="D100" s="1">
        <v>39</v>
      </c>
      <c r="E100" s="1">
        <v>14</v>
      </c>
      <c r="F100" s="1" t="s">
        <v>954</v>
      </c>
      <c r="G100" s="1" t="s">
        <v>45</v>
      </c>
      <c r="H100" s="1" t="s">
        <v>36</v>
      </c>
      <c r="I100" s="1" t="s">
        <v>18</v>
      </c>
      <c r="J100" s="1">
        <v>40</v>
      </c>
      <c r="K100" s="1" t="s">
        <v>37</v>
      </c>
      <c r="L100" s="3">
        <v>97040</v>
      </c>
      <c r="M100" s="3">
        <v>97040</v>
      </c>
      <c r="N100" s="1" t="s">
        <v>29</v>
      </c>
      <c r="O100" s="5" t="str" cm="1">
        <f t="array" ref="O100">_xlfn.IFS(Table1[[#This Row],[Age]]&lt;25,"Young",Table1[[#This Row],[Age]]&lt;45,"Adult",Table1[[#This Row],[Age]]&gt;=45,"Old")</f>
        <v>Adult</v>
      </c>
    </row>
    <row r="101" spans="1:15" x14ac:dyDescent="0.25">
      <c r="A101" s="1">
        <v>7600</v>
      </c>
      <c r="B101" s="1" t="s">
        <v>208</v>
      </c>
      <c r="C101" s="1" t="s">
        <v>172</v>
      </c>
      <c r="D101" s="1">
        <v>37</v>
      </c>
      <c r="E101" s="1">
        <v>18</v>
      </c>
      <c r="F101" s="1" t="s">
        <v>953</v>
      </c>
      <c r="G101" s="1" t="s">
        <v>35</v>
      </c>
      <c r="H101" s="1" t="s">
        <v>24</v>
      </c>
      <c r="I101" s="1" t="s">
        <v>18</v>
      </c>
      <c r="J101" s="1">
        <v>40</v>
      </c>
      <c r="K101" s="1" t="s">
        <v>37</v>
      </c>
      <c r="L101" s="3">
        <v>103955</v>
      </c>
      <c r="M101" s="3">
        <v>103955</v>
      </c>
      <c r="N101" s="1" t="s">
        <v>29</v>
      </c>
      <c r="O101" s="5" t="str" cm="1">
        <f t="array" ref="O101">_xlfn.IFS(Table1[[#This Row],[Age]]&lt;25,"Young",Table1[[#This Row],[Age]]&lt;45,"Adult",Table1[[#This Row],[Age]]&gt;=45,"Old")</f>
        <v>Adult</v>
      </c>
    </row>
    <row r="102" spans="1:15" x14ac:dyDescent="0.25">
      <c r="A102" s="1">
        <v>19272</v>
      </c>
      <c r="B102" s="1" t="s">
        <v>209</v>
      </c>
      <c r="C102" s="1" t="s">
        <v>210</v>
      </c>
      <c r="D102" s="1">
        <v>40</v>
      </c>
      <c r="E102" s="1">
        <v>19</v>
      </c>
      <c r="F102" s="1" t="s">
        <v>954</v>
      </c>
      <c r="G102" s="1" t="s">
        <v>45</v>
      </c>
      <c r="H102" s="1" t="s">
        <v>24</v>
      </c>
      <c r="I102" s="1" t="s">
        <v>18</v>
      </c>
      <c r="J102" s="1">
        <v>20</v>
      </c>
      <c r="K102" s="1" t="s">
        <v>25</v>
      </c>
      <c r="L102" s="3">
        <v>106129</v>
      </c>
      <c r="M102" s="3">
        <v>53064.5</v>
      </c>
      <c r="N102" s="1" t="s">
        <v>29</v>
      </c>
      <c r="O102" s="5" t="str" cm="1">
        <f t="array" ref="O102">_xlfn.IFS(Table1[[#This Row],[Age]]&lt;25,"Young",Table1[[#This Row],[Age]]&lt;45,"Adult",Table1[[#This Row],[Age]]&gt;=45,"Old")</f>
        <v>Adult</v>
      </c>
    </row>
    <row r="103" spans="1:15" x14ac:dyDescent="0.25">
      <c r="A103" s="1">
        <v>10998</v>
      </c>
      <c r="B103" s="1" t="s">
        <v>182</v>
      </c>
      <c r="C103" s="1" t="s">
        <v>211</v>
      </c>
      <c r="D103" s="1">
        <v>43</v>
      </c>
      <c r="E103" s="1">
        <v>5</v>
      </c>
      <c r="F103" s="1" t="s">
        <v>953</v>
      </c>
      <c r="G103" s="1" t="s">
        <v>45</v>
      </c>
      <c r="H103" s="1" t="s">
        <v>17</v>
      </c>
      <c r="I103" s="1" t="s">
        <v>51</v>
      </c>
      <c r="J103" s="1">
        <v>32</v>
      </c>
      <c r="K103" s="1" t="s">
        <v>37</v>
      </c>
      <c r="L103" s="3">
        <v>98459</v>
      </c>
      <c r="M103" s="3">
        <v>78767.199999999997</v>
      </c>
      <c r="N103" s="1" t="s">
        <v>29</v>
      </c>
      <c r="O103" s="5" t="str" cm="1">
        <f t="array" ref="O103">_xlfn.IFS(Table1[[#This Row],[Age]]&lt;25,"Young",Table1[[#This Row],[Age]]&lt;45,"Adult",Table1[[#This Row],[Age]]&gt;=45,"Old")</f>
        <v>Adult</v>
      </c>
    </row>
    <row r="104" spans="1:15" x14ac:dyDescent="0.25">
      <c r="A104" s="1">
        <v>7654</v>
      </c>
      <c r="B104" s="1" t="s">
        <v>162</v>
      </c>
      <c r="C104" s="1" t="s">
        <v>212</v>
      </c>
      <c r="D104" s="1">
        <v>43</v>
      </c>
      <c r="E104" s="1">
        <v>24</v>
      </c>
      <c r="F104" s="1" t="s">
        <v>953</v>
      </c>
      <c r="G104" s="1" t="s">
        <v>45</v>
      </c>
      <c r="H104" s="1" t="s">
        <v>32</v>
      </c>
      <c r="I104" s="1" t="s">
        <v>18</v>
      </c>
      <c r="J104" s="1">
        <v>40</v>
      </c>
      <c r="K104" s="1" t="s">
        <v>37</v>
      </c>
      <c r="L104" s="3">
        <v>107000</v>
      </c>
      <c r="M104" s="3">
        <v>107000</v>
      </c>
      <c r="N104" s="1" t="s">
        <v>29</v>
      </c>
      <c r="O104" s="5" t="str" cm="1">
        <f t="array" ref="O104">_xlfn.IFS(Table1[[#This Row],[Age]]&lt;25,"Young",Table1[[#This Row],[Age]]&lt;45,"Adult",Table1[[#This Row],[Age]]&gt;=45,"Old")</f>
        <v>Adult</v>
      </c>
    </row>
    <row r="105" spans="1:15" x14ac:dyDescent="0.25">
      <c r="A105" s="1">
        <v>22164</v>
      </c>
      <c r="B105" s="1" t="s">
        <v>213</v>
      </c>
      <c r="C105" s="1" t="s">
        <v>214</v>
      </c>
      <c r="D105" s="1">
        <v>51</v>
      </c>
      <c r="E105" s="1">
        <v>31</v>
      </c>
      <c r="F105" s="1" t="s">
        <v>953</v>
      </c>
      <c r="G105" s="1" t="s">
        <v>45</v>
      </c>
      <c r="H105" s="1" t="s">
        <v>36</v>
      </c>
      <c r="I105" s="1" t="s">
        <v>18</v>
      </c>
      <c r="J105" s="1">
        <v>32</v>
      </c>
      <c r="K105" s="1" t="s">
        <v>42</v>
      </c>
      <c r="L105" s="3">
        <v>79277</v>
      </c>
      <c r="M105" s="3">
        <v>63421.599999999999</v>
      </c>
      <c r="N105" s="1" t="s">
        <v>29</v>
      </c>
      <c r="O105" s="5" t="str" cm="1">
        <f t="array" ref="O105">_xlfn.IFS(Table1[[#This Row],[Age]]&lt;25,"Young",Table1[[#This Row],[Age]]&lt;45,"Adult",Table1[[#This Row],[Age]]&gt;=45,"Old")</f>
        <v>Old</v>
      </c>
    </row>
    <row r="106" spans="1:15" x14ac:dyDescent="0.25">
      <c r="A106" s="1">
        <v>17045</v>
      </c>
      <c r="B106" s="1" t="s">
        <v>215</v>
      </c>
      <c r="C106" s="1" t="s">
        <v>216</v>
      </c>
      <c r="D106" s="1">
        <v>57</v>
      </c>
      <c r="E106" s="1">
        <v>3</v>
      </c>
      <c r="F106" s="1" t="s">
        <v>954</v>
      </c>
      <c r="G106" s="1" t="s">
        <v>35</v>
      </c>
      <c r="H106" s="1" t="s">
        <v>32</v>
      </c>
      <c r="I106" s="1" t="s">
        <v>18</v>
      </c>
      <c r="J106" s="1">
        <v>40</v>
      </c>
      <c r="K106" s="1" t="s">
        <v>25</v>
      </c>
      <c r="L106" s="3">
        <v>98000</v>
      </c>
      <c r="M106" s="3">
        <v>98000</v>
      </c>
      <c r="N106" s="1" t="s">
        <v>29</v>
      </c>
      <c r="O106" s="5" t="str" cm="1">
        <f t="array" ref="O106">_xlfn.IFS(Table1[[#This Row],[Age]]&lt;25,"Young",Table1[[#This Row],[Age]]&lt;45,"Adult",Table1[[#This Row],[Age]]&gt;=45,"Old")</f>
        <v>Old</v>
      </c>
    </row>
    <row r="107" spans="1:15" x14ac:dyDescent="0.25">
      <c r="A107" s="1">
        <v>13651</v>
      </c>
      <c r="B107" s="1" t="s">
        <v>217</v>
      </c>
      <c r="C107" s="1" t="s">
        <v>218</v>
      </c>
      <c r="D107" s="1">
        <v>24</v>
      </c>
      <c r="E107" s="1">
        <v>0</v>
      </c>
      <c r="F107" s="1" t="s">
        <v>953</v>
      </c>
      <c r="G107" s="1" t="s">
        <v>16</v>
      </c>
      <c r="H107" s="1" t="s">
        <v>24</v>
      </c>
      <c r="I107" s="1" t="s">
        <v>18</v>
      </c>
      <c r="J107" s="1">
        <v>40</v>
      </c>
      <c r="K107" s="1" t="s">
        <v>19</v>
      </c>
      <c r="L107" s="3">
        <v>138000</v>
      </c>
      <c r="M107" s="3">
        <v>138000</v>
      </c>
      <c r="N107" s="1" t="s">
        <v>26</v>
      </c>
      <c r="O107" s="5" t="str" cm="1">
        <f t="array" ref="O107">_xlfn.IFS(Table1[[#This Row],[Age]]&lt;25,"Young",Table1[[#This Row],[Age]]&lt;45,"Adult",Table1[[#This Row],[Age]]&gt;=45,"Old")</f>
        <v>Young</v>
      </c>
    </row>
    <row r="108" spans="1:15" x14ac:dyDescent="0.25">
      <c r="A108" s="1">
        <v>21751</v>
      </c>
      <c r="B108" s="1" t="s">
        <v>175</v>
      </c>
      <c r="C108" s="1" t="s">
        <v>219</v>
      </c>
      <c r="D108" s="1">
        <v>52</v>
      </c>
      <c r="E108" s="1">
        <v>1</v>
      </c>
      <c r="F108" s="1" t="s">
        <v>953</v>
      </c>
      <c r="G108" s="1" t="s">
        <v>50</v>
      </c>
      <c r="H108" s="1" t="s">
        <v>36</v>
      </c>
      <c r="I108" s="1" t="s">
        <v>18</v>
      </c>
      <c r="J108" s="1">
        <v>40</v>
      </c>
      <c r="K108" s="1" t="s">
        <v>37</v>
      </c>
      <c r="L108" s="3">
        <v>100794</v>
      </c>
      <c r="M108" s="3">
        <v>100794</v>
      </c>
      <c r="N108" s="1" t="s">
        <v>26</v>
      </c>
      <c r="O108" s="5" t="str" cm="1">
        <f t="array" ref="O108">_xlfn.IFS(Table1[[#This Row],[Age]]&lt;25,"Young",Table1[[#This Row],[Age]]&lt;45,"Adult",Table1[[#This Row],[Age]]&gt;=45,"Old")</f>
        <v>Old</v>
      </c>
    </row>
    <row r="109" spans="1:15" x14ac:dyDescent="0.25">
      <c r="A109" s="1">
        <v>15722</v>
      </c>
      <c r="B109" s="1" t="s">
        <v>220</v>
      </c>
      <c r="C109" s="1" t="s">
        <v>221</v>
      </c>
      <c r="D109" s="1">
        <v>38</v>
      </c>
      <c r="E109" s="1">
        <v>3</v>
      </c>
      <c r="F109" s="1" t="s">
        <v>954</v>
      </c>
      <c r="G109" s="1" t="s">
        <v>35</v>
      </c>
      <c r="H109" s="1" t="s">
        <v>32</v>
      </c>
      <c r="I109" s="1" t="s">
        <v>18</v>
      </c>
      <c r="J109" s="1">
        <v>40</v>
      </c>
      <c r="K109" s="1" t="s">
        <v>37</v>
      </c>
      <c r="L109" s="3">
        <v>96799</v>
      </c>
      <c r="M109" s="3">
        <v>96799</v>
      </c>
      <c r="N109" s="1" t="s">
        <v>29</v>
      </c>
      <c r="O109" s="5" t="str" cm="1">
        <f t="array" ref="O109">_xlfn.IFS(Table1[[#This Row],[Age]]&lt;25,"Young",Table1[[#This Row],[Age]]&lt;45,"Adult",Table1[[#This Row],[Age]]&gt;=45,"Old")</f>
        <v>Adult</v>
      </c>
    </row>
    <row r="110" spans="1:15" x14ac:dyDescent="0.25">
      <c r="A110" s="1">
        <v>5368</v>
      </c>
      <c r="B110" s="1" t="s">
        <v>222</v>
      </c>
      <c r="C110" s="1" t="s">
        <v>223</v>
      </c>
      <c r="D110" s="1">
        <v>43</v>
      </c>
      <c r="E110" s="1">
        <v>6</v>
      </c>
      <c r="F110" s="1" t="s">
        <v>953</v>
      </c>
      <c r="G110" s="1" t="s">
        <v>23</v>
      </c>
      <c r="H110" s="1" t="s">
        <v>32</v>
      </c>
      <c r="I110" s="1" t="s">
        <v>18</v>
      </c>
      <c r="J110" s="1">
        <v>40</v>
      </c>
      <c r="K110" s="1" t="s">
        <v>37</v>
      </c>
      <c r="L110" s="3">
        <v>97259</v>
      </c>
      <c r="M110" s="3">
        <v>97259</v>
      </c>
      <c r="N110" s="1" t="s">
        <v>29</v>
      </c>
      <c r="O110" s="5" t="str" cm="1">
        <f t="array" ref="O110">_xlfn.IFS(Table1[[#This Row],[Age]]&lt;25,"Young",Table1[[#This Row],[Age]]&lt;45,"Adult",Table1[[#This Row],[Age]]&gt;=45,"Old")</f>
        <v>Adult</v>
      </c>
    </row>
    <row r="111" spans="1:15" x14ac:dyDescent="0.25">
      <c r="A111" s="1">
        <v>9366</v>
      </c>
      <c r="B111" s="1" t="s">
        <v>224</v>
      </c>
      <c r="C111" s="1" t="s">
        <v>148</v>
      </c>
      <c r="D111" s="1">
        <v>57</v>
      </c>
      <c r="E111" s="1">
        <v>12</v>
      </c>
      <c r="F111" s="1" t="s">
        <v>954</v>
      </c>
      <c r="G111" s="1" t="s">
        <v>16</v>
      </c>
      <c r="H111" s="1" t="s">
        <v>32</v>
      </c>
      <c r="I111" s="1" t="s">
        <v>18</v>
      </c>
      <c r="J111" s="1">
        <v>40</v>
      </c>
      <c r="K111" s="1" t="s">
        <v>37</v>
      </c>
      <c r="L111" s="3">
        <v>88613</v>
      </c>
      <c r="M111" s="3">
        <v>88613</v>
      </c>
      <c r="N111" s="1" t="s">
        <v>29</v>
      </c>
      <c r="O111" s="5" t="str" cm="1">
        <f t="array" ref="O111">_xlfn.IFS(Table1[[#This Row],[Age]]&lt;25,"Young",Table1[[#This Row],[Age]]&lt;45,"Adult",Table1[[#This Row],[Age]]&gt;=45,"Old")</f>
        <v>Old</v>
      </c>
    </row>
    <row r="112" spans="1:15" x14ac:dyDescent="0.25">
      <c r="A112" s="1">
        <v>5262</v>
      </c>
      <c r="B112" s="1" t="s">
        <v>225</v>
      </c>
      <c r="C112" s="1" t="s">
        <v>226</v>
      </c>
      <c r="D112" s="1">
        <v>23</v>
      </c>
      <c r="E112" s="1">
        <v>2</v>
      </c>
      <c r="F112" s="1" t="s">
        <v>953</v>
      </c>
      <c r="G112" s="1" t="s">
        <v>50</v>
      </c>
      <c r="H112" s="1" t="s">
        <v>36</v>
      </c>
      <c r="I112" s="1" t="s">
        <v>18</v>
      </c>
      <c r="J112" s="1">
        <v>40</v>
      </c>
      <c r="K112" s="1" t="s">
        <v>37</v>
      </c>
      <c r="L112" s="3">
        <v>100247</v>
      </c>
      <c r="M112" s="3">
        <v>100247</v>
      </c>
      <c r="N112" s="1" t="s">
        <v>29</v>
      </c>
      <c r="O112" s="5" t="str" cm="1">
        <f t="array" ref="O112">_xlfn.IFS(Table1[[#This Row],[Age]]&lt;25,"Young",Table1[[#This Row],[Age]]&lt;45,"Adult",Table1[[#This Row],[Age]]&gt;=45,"Old")</f>
        <v>Young</v>
      </c>
    </row>
    <row r="113" spans="1:15" x14ac:dyDescent="0.25">
      <c r="A113" s="1">
        <v>8768</v>
      </c>
      <c r="B113" s="1" t="s">
        <v>227</v>
      </c>
      <c r="C113" s="1" t="s">
        <v>228</v>
      </c>
      <c r="D113" s="1">
        <v>37</v>
      </c>
      <c r="E113" s="1">
        <v>10</v>
      </c>
      <c r="F113" s="1" t="s">
        <v>953</v>
      </c>
      <c r="G113" s="1" t="s">
        <v>16</v>
      </c>
      <c r="H113" s="1" t="s">
        <v>36</v>
      </c>
      <c r="I113" s="1" t="s">
        <v>18</v>
      </c>
      <c r="J113" s="1">
        <v>40</v>
      </c>
      <c r="K113" s="1" t="s">
        <v>42</v>
      </c>
      <c r="L113" s="3">
        <v>87000</v>
      </c>
      <c r="M113" s="3">
        <v>87000</v>
      </c>
      <c r="N113" s="1" t="s">
        <v>26</v>
      </c>
      <c r="O113" s="5" t="str" cm="1">
        <f t="array" ref="O113">_xlfn.IFS(Table1[[#This Row],[Age]]&lt;25,"Young",Table1[[#This Row],[Age]]&lt;45,"Adult",Table1[[#This Row],[Age]]&gt;=45,"Old")</f>
        <v>Adult</v>
      </c>
    </row>
    <row r="114" spans="1:15" x14ac:dyDescent="0.25">
      <c r="A114" s="1">
        <v>19081</v>
      </c>
      <c r="B114" s="1" t="s">
        <v>229</v>
      </c>
      <c r="C114" s="1" t="s">
        <v>230</v>
      </c>
      <c r="D114" s="1">
        <v>27</v>
      </c>
      <c r="E114" s="1">
        <v>8</v>
      </c>
      <c r="F114" s="1" t="s">
        <v>953</v>
      </c>
      <c r="G114" s="1" t="s">
        <v>23</v>
      </c>
      <c r="H114" s="1" t="s">
        <v>64</v>
      </c>
      <c r="I114" s="1" t="s">
        <v>18</v>
      </c>
      <c r="J114" s="1">
        <v>20</v>
      </c>
      <c r="K114" s="1" t="s">
        <v>52</v>
      </c>
      <c r="L114" s="3">
        <v>140995</v>
      </c>
      <c r="M114" s="3">
        <v>70497.5</v>
      </c>
      <c r="N114" s="1" t="s">
        <v>26</v>
      </c>
      <c r="O114" s="5" t="str" cm="1">
        <f t="array" ref="O114">_xlfn.IFS(Table1[[#This Row],[Age]]&lt;25,"Young",Table1[[#This Row],[Age]]&lt;45,"Adult",Table1[[#This Row],[Age]]&gt;=45,"Old")</f>
        <v>Adult</v>
      </c>
    </row>
    <row r="115" spans="1:15" x14ac:dyDescent="0.25">
      <c r="A115" s="1">
        <v>18348</v>
      </c>
      <c r="B115" s="1" t="s">
        <v>231</v>
      </c>
      <c r="C115" s="1" t="s">
        <v>232</v>
      </c>
      <c r="D115" s="1">
        <v>53</v>
      </c>
      <c r="E115" s="1">
        <v>35</v>
      </c>
      <c r="F115" s="1" t="s">
        <v>954</v>
      </c>
      <c r="G115" s="1" t="s">
        <v>23</v>
      </c>
      <c r="H115" s="1" t="s">
        <v>24</v>
      </c>
      <c r="I115" s="1" t="s">
        <v>18</v>
      </c>
      <c r="J115" s="1">
        <v>32</v>
      </c>
      <c r="K115" s="1" t="s">
        <v>37</v>
      </c>
      <c r="L115" s="3">
        <v>85000</v>
      </c>
      <c r="M115" s="3">
        <v>68000</v>
      </c>
      <c r="N115" s="1" t="s">
        <v>20</v>
      </c>
      <c r="O115" s="5" t="str" cm="1">
        <f t="array" ref="O115">_xlfn.IFS(Table1[[#This Row],[Age]]&lt;25,"Young",Table1[[#This Row],[Age]]&lt;45,"Adult",Table1[[#This Row],[Age]]&gt;=45,"Old")</f>
        <v>Old</v>
      </c>
    </row>
    <row r="116" spans="1:15" x14ac:dyDescent="0.25">
      <c r="A116" s="1">
        <v>9296</v>
      </c>
      <c r="B116" s="1" t="s">
        <v>233</v>
      </c>
      <c r="C116" s="1" t="s">
        <v>234</v>
      </c>
      <c r="D116" s="1">
        <v>36</v>
      </c>
      <c r="E116" s="1">
        <v>2</v>
      </c>
      <c r="F116" s="1" t="s">
        <v>954</v>
      </c>
      <c r="G116" s="1" t="s">
        <v>23</v>
      </c>
      <c r="H116" s="1" t="s">
        <v>36</v>
      </c>
      <c r="I116" s="1" t="s">
        <v>18</v>
      </c>
      <c r="J116" s="1">
        <v>20</v>
      </c>
      <c r="K116" s="1" t="s">
        <v>42</v>
      </c>
      <c r="L116" s="3">
        <v>68000</v>
      </c>
      <c r="M116" s="3">
        <v>34000</v>
      </c>
      <c r="N116" s="1" t="s">
        <v>20</v>
      </c>
      <c r="O116" s="5" t="str" cm="1">
        <f t="array" ref="O116">_xlfn.IFS(Table1[[#This Row],[Age]]&lt;25,"Young",Table1[[#This Row],[Age]]&lt;45,"Adult",Table1[[#This Row],[Age]]&gt;=45,"Old")</f>
        <v>Adult</v>
      </c>
    </row>
    <row r="117" spans="1:15" x14ac:dyDescent="0.25">
      <c r="A117" s="1">
        <v>19842</v>
      </c>
      <c r="B117" s="1" t="s">
        <v>235</v>
      </c>
      <c r="C117" s="1" t="s">
        <v>236</v>
      </c>
      <c r="D117" s="1">
        <v>32</v>
      </c>
      <c r="E117" s="1">
        <v>13</v>
      </c>
      <c r="F117" s="1" t="s">
        <v>953</v>
      </c>
      <c r="G117" s="1" t="s">
        <v>23</v>
      </c>
      <c r="H117" s="1" t="s">
        <v>24</v>
      </c>
      <c r="I117" s="1" t="s">
        <v>18</v>
      </c>
      <c r="J117" s="1">
        <v>20</v>
      </c>
      <c r="K117" s="1" t="s">
        <v>25</v>
      </c>
      <c r="L117" s="3">
        <v>112109</v>
      </c>
      <c r="M117" s="3">
        <v>56054.5</v>
      </c>
      <c r="N117" s="1" t="s">
        <v>26</v>
      </c>
      <c r="O117" s="5" t="str" cm="1">
        <f t="array" ref="O117">_xlfn.IFS(Table1[[#This Row],[Age]]&lt;25,"Young",Table1[[#This Row],[Age]]&lt;45,"Adult",Table1[[#This Row],[Age]]&gt;=45,"Old")</f>
        <v>Adult</v>
      </c>
    </row>
    <row r="118" spans="1:15" x14ac:dyDescent="0.25">
      <c r="A118" s="1">
        <v>14725</v>
      </c>
      <c r="B118" s="1" t="s">
        <v>237</v>
      </c>
      <c r="C118" s="1" t="s">
        <v>238</v>
      </c>
      <c r="D118" s="1">
        <v>34</v>
      </c>
      <c r="E118" s="1">
        <v>2</v>
      </c>
      <c r="F118" s="1" t="s">
        <v>953</v>
      </c>
      <c r="G118" s="1" t="s">
        <v>23</v>
      </c>
      <c r="H118" s="1" t="s">
        <v>32</v>
      </c>
      <c r="I118" s="1" t="s">
        <v>18</v>
      </c>
      <c r="J118" s="1">
        <v>40</v>
      </c>
      <c r="K118" s="1" t="s">
        <v>37</v>
      </c>
      <c r="L118" s="3">
        <v>92035</v>
      </c>
      <c r="M118" s="3">
        <v>92035</v>
      </c>
      <c r="N118" s="1" t="s">
        <v>26</v>
      </c>
      <c r="O118" s="5" t="str" cm="1">
        <f t="array" ref="O118">_xlfn.IFS(Table1[[#This Row],[Age]]&lt;25,"Young",Table1[[#This Row],[Age]]&lt;45,"Adult",Table1[[#This Row],[Age]]&gt;=45,"Old")</f>
        <v>Adult</v>
      </c>
    </row>
    <row r="119" spans="1:15" x14ac:dyDescent="0.25">
      <c r="A119" s="1">
        <v>19808</v>
      </c>
      <c r="B119" s="1" t="s">
        <v>239</v>
      </c>
      <c r="C119" s="1" t="s">
        <v>240</v>
      </c>
      <c r="D119" s="1">
        <v>41</v>
      </c>
      <c r="E119" s="1">
        <v>21</v>
      </c>
      <c r="F119" s="1" t="s">
        <v>953</v>
      </c>
      <c r="G119" s="1" t="s">
        <v>35</v>
      </c>
      <c r="H119" s="1" t="s">
        <v>192</v>
      </c>
      <c r="I119" s="1" t="s">
        <v>51</v>
      </c>
      <c r="J119" s="1">
        <v>16</v>
      </c>
      <c r="K119" s="1" t="s">
        <v>37</v>
      </c>
      <c r="L119" s="3">
        <v>92432</v>
      </c>
      <c r="M119" s="3">
        <v>36972.800000000003</v>
      </c>
      <c r="N119" s="1" t="s">
        <v>29</v>
      </c>
      <c r="O119" s="5" t="str" cm="1">
        <f t="array" ref="O119">_xlfn.IFS(Table1[[#This Row],[Age]]&lt;25,"Young",Table1[[#This Row],[Age]]&lt;45,"Adult",Table1[[#This Row],[Age]]&gt;=45,"Old")</f>
        <v>Adult</v>
      </c>
    </row>
    <row r="120" spans="1:15" x14ac:dyDescent="0.25">
      <c r="A120" s="1">
        <v>13774</v>
      </c>
      <c r="B120" s="1" t="s">
        <v>241</v>
      </c>
      <c r="C120" s="1" t="s">
        <v>148</v>
      </c>
      <c r="D120" s="1">
        <v>38</v>
      </c>
      <c r="E120" s="1">
        <v>18</v>
      </c>
      <c r="F120" s="1" t="s">
        <v>954</v>
      </c>
      <c r="G120" s="1" t="s">
        <v>23</v>
      </c>
      <c r="H120" s="1" t="s">
        <v>24</v>
      </c>
      <c r="I120" s="1" t="s">
        <v>18</v>
      </c>
      <c r="J120" s="1">
        <v>40</v>
      </c>
      <c r="K120" s="1" t="s">
        <v>37</v>
      </c>
      <c r="L120" s="3">
        <v>85000</v>
      </c>
      <c r="M120" s="3">
        <v>85000</v>
      </c>
      <c r="N120" s="1" t="s">
        <v>29</v>
      </c>
      <c r="O120" s="5" t="str" cm="1">
        <f t="array" ref="O120">_xlfn.IFS(Table1[[#This Row],[Age]]&lt;25,"Young",Table1[[#This Row],[Age]]&lt;45,"Adult",Table1[[#This Row],[Age]]&gt;=45,"Old")</f>
        <v>Adult</v>
      </c>
    </row>
    <row r="121" spans="1:15" x14ac:dyDescent="0.25">
      <c r="A121" s="1">
        <v>12548</v>
      </c>
      <c r="B121" s="1" t="s">
        <v>117</v>
      </c>
      <c r="C121" s="1" t="s">
        <v>242</v>
      </c>
      <c r="D121" s="1">
        <v>59</v>
      </c>
      <c r="E121" s="1">
        <v>6</v>
      </c>
      <c r="F121" s="1" t="s">
        <v>953</v>
      </c>
      <c r="G121" s="1" t="s">
        <v>50</v>
      </c>
      <c r="H121" s="1" t="s">
        <v>24</v>
      </c>
      <c r="I121" s="1" t="s">
        <v>51</v>
      </c>
      <c r="J121" s="1">
        <v>24</v>
      </c>
      <c r="K121" s="1" t="s">
        <v>37</v>
      </c>
      <c r="L121" s="3">
        <v>91800</v>
      </c>
      <c r="M121" s="3">
        <v>55080</v>
      </c>
      <c r="N121" s="1" t="s">
        <v>29</v>
      </c>
      <c r="O121" s="5" t="str" cm="1">
        <f t="array" ref="O121">_xlfn.IFS(Table1[[#This Row],[Age]]&lt;25,"Young",Table1[[#This Row],[Age]]&lt;45,"Adult",Table1[[#This Row],[Age]]&gt;=45,"Old")</f>
        <v>Old</v>
      </c>
    </row>
    <row r="122" spans="1:15" x14ac:dyDescent="0.25">
      <c r="A122" s="1">
        <v>7873</v>
      </c>
      <c r="B122" s="1" t="s">
        <v>243</v>
      </c>
      <c r="C122" s="1" t="s">
        <v>244</v>
      </c>
      <c r="D122" s="1">
        <v>50</v>
      </c>
      <c r="E122" s="1">
        <v>15</v>
      </c>
      <c r="F122" s="1" t="s">
        <v>953</v>
      </c>
      <c r="G122" s="1" t="s">
        <v>23</v>
      </c>
      <c r="H122" s="1" t="s">
        <v>17</v>
      </c>
      <c r="I122" s="1" t="s">
        <v>51</v>
      </c>
      <c r="J122" s="1">
        <v>8</v>
      </c>
      <c r="K122" s="1" t="s">
        <v>19</v>
      </c>
      <c r="L122" s="3">
        <v>124200</v>
      </c>
      <c r="M122" s="3">
        <v>24840</v>
      </c>
      <c r="N122" s="1" t="s">
        <v>26</v>
      </c>
      <c r="O122" s="5" t="str" cm="1">
        <f t="array" ref="O122">_xlfn.IFS(Table1[[#This Row],[Age]]&lt;25,"Young",Table1[[#This Row],[Age]]&lt;45,"Adult",Table1[[#This Row],[Age]]&gt;=45,"Old")</f>
        <v>Old</v>
      </c>
    </row>
    <row r="123" spans="1:15" x14ac:dyDescent="0.25">
      <c r="A123" s="1">
        <v>5219</v>
      </c>
      <c r="B123" s="1" t="s">
        <v>245</v>
      </c>
      <c r="C123" s="1" t="s">
        <v>246</v>
      </c>
      <c r="D123" s="1">
        <v>50</v>
      </c>
      <c r="E123" s="1">
        <v>6</v>
      </c>
      <c r="F123" s="1" t="s">
        <v>954</v>
      </c>
      <c r="G123" s="1" t="s">
        <v>16</v>
      </c>
      <c r="H123" s="1" t="s">
        <v>32</v>
      </c>
      <c r="I123" s="1" t="s">
        <v>18</v>
      </c>
      <c r="J123" s="1">
        <v>40</v>
      </c>
      <c r="K123" s="1" t="s">
        <v>37</v>
      </c>
      <c r="L123" s="3">
        <v>93409</v>
      </c>
      <c r="M123" s="3">
        <v>93409</v>
      </c>
      <c r="N123" s="1" t="s">
        <v>29</v>
      </c>
      <c r="O123" s="5" t="str" cm="1">
        <f t="array" ref="O123">_xlfn.IFS(Table1[[#This Row],[Age]]&lt;25,"Young",Table1[[#This Row],[Age]]&lt;45,"Adult",Table1[[#This Row],[Age]]&gt;=45,"Old")</f>
        <v>Old</v>
      </c>
    </row>
    <row r="124" spans="1:15" x14ac:dyDescent="0.25">
      <c r="A124" s="1">
        <v>17383</v>
      </c>
      <c r="B124" s="1" t="s">
        <v>247</v>
      </c>
      <c r="C124" s="1" t="s">
        <v>248</v>
      </c>
      <c r="D124" s="1">
        <v>25</v>
      </c>
      <c r="E124" s="1">
        <v>2</v>
      </c>
      <c r="F124" s="1" t="s">
        <v>954</v>
      </c>
      <c r="G124" s="1" t="s">
        <v>35</v>
      </c>
      <c r="H124" s="1" t="s">
        <v>36</v>
      </c>
      <c r="I124" s="1" t="s">
        <v>18</v>
      </c>
      <c r="J124" s="1">
        <v>16</v>
      </c>
      <c r="K124" s="1" t="s">
        <v>37</v>
      </c>
      <c r="L124" s="3">
        <v>85000</v>
      </c>
      <c r="M124" s="3">
        <v>34000</v>
      </c>
      <c r="N124" s="1" t="s">
        <v>20</v>
      </c>
      <c r="O124" s="5" t="str" cm="1">
        <f t="array" ref="O124">_xlfn.IFS(Table1[[#This Row],[Age]]&lt;25,"Young",Table1[[#This Row],[Age]]&lt;45,"Adult",Table1[[#This Row],[Age]]&gt;=45,"Old")</f>
        <v>Adult</v>
      </c>
    </row>
    <row r="125" spans="1:15" x14ac:dyDescent="0.25">
      <c r="A125" s="1">
        <v>16858</v>
      </c>
      <c r="B125" s="1" t="s">
        <v>249</v>
      </c>
      <c r="C125" s="1" t="s">
        <v>250</v>
      </c>
      <c r="D125" s="1">
        <v>41</v>
      </c>
      <c r="E125" s="1">
        <v>7</v>
      </c>
      <c r="F125" s="1" t="s">
        <v>953</v>
      </c>
      <c r="G125" s="1" t="s">
        <v>16</v>
      </c>
      <c r="H125" s="1" t="s">
        <v>36</v>
      </c>
      <c r="I125" s="1" t="s">
        <v>51</v>
      </c>
      <c r="J125" s="1">
        <v>40</v>
      </c>
      <c r="K125" s="1" t="s">
        <v>42</v>
      </c>
      <c r="L125" s="3">
        <v>87000</v>
      </c>
      <c r="M125" s="3">
        <v>87000</v>
      </c>
      <c r="N125" s="1" t="s">
        <v>26</v>
      </c>
      <c r="O125" s="5" t="str" cm="1">
        <f t="array" ref="O125">_xlfn.IFS(Table1[[#This Row],[Age]]&lt;25,"Young",Table1[[#This Row],[Age]]&lt;45,"Adult",Table1[[#This Row],[Age]]&gt;=45,"Old")</f>
        <v>Adult</v>
      </c>
    </row>
    <row r="126" spans="1:15" x14ac:dyDescent="0.25">
      <c r="A126" s="1">
        <v>3665</v>
      </c>
      <c r="B126" s="1" t="s">
        <v>251</v>
      </c>
      <c r="C126" s="1" t="s">
        <v>252</v>
      </c>
      <c r="D126" s="1">
        <v>31</v>
      </c>
      <c r="E126" s="1">
        <v>12</v>
      </c>
      <c r="F126" s="1" t="s">
        <v>954</v>
      </c>
      <c r="G126" s="1" t="s">
        <v>23</v>
      </c>
      <c r="H126" s="1" t="s">
        <v>36</v>
      </c>
      <c r="I126" s="1" t="s">
        <v>18</v>
      </c>
      <c r="J126" s="1">
        <v>20</v>
      </c>
      <c r="K126" s="1" t="s">
        <v>42</v>
      </c>
      <c r="L126" s="3">
        <v>68000</v>
      </c>
      <c r="M126" s="3">
        <v>34000</v>
      </c>
      <c r="N126" s="1" t="s">
        <v>20</v>
      </c>
      <c r="O126" s="5" t="str" cm="1">
        <f t="array" ref="O126">_xlfn.IFS(Table1[[#This Row],[Age]]&lt;25,"Young",Table1[[#This Row],[Age]]&lt;45,"Adult",Table1[[#This Row],[Age]]&gt;=45,"Old")</f>
        <v>Adult</v>
      </c>
    </row>
    <row r="127" spans="1:15" x14ac:dyDescent="0.25">
      <c r="A127" s="1">
        <v>2230</v>
      </c>
      <c r="B127" s="1" t="s">
        <v>253</v>
      </c>
      <c r="C127" s="1" t="s">
        <v>61</v>
      </c>
      <c r="D127" s="1">
        <v>29</v>
      </c>
      <c r="E127" s="1">
        <v>5</v>
      </c>
      <c r="F127" s="1" t="s">
        <v>954</v>
      </c>
      <c r="G127" s="1" t="s">
        <v>45</v>
      </c>
      <c r="H127" s="1" t="s">
        <v>17</v>
      </c>
      <c r="I127" s="1" t="s">
        <v>18</v>
      </c>
      <c r="J127" s="1">
        <v>20</v>
      </c>
      <c r="K127" s="1" t="s">
        <v>25</v>
      </c>
      <c r="L127" s="3">
        <v>98000</v>
      </c>
      <c r="M127" s="3">
        <v>49000</v>
      </c>
      <c r="N127" s="1" t="s">
        <v>26</v>
      </c>
      <c r="O127" s="5" t="str" cm="1">
        <f t="array" ref="O127">_xlfn.IFS(Table1[[#This Row],[Age]]&lt;25,"Young",Table1[[#This Row],[Age]]&lt;45,"Adult",Table1[[#This Row],[Age]]&gt;=45,"Old")</f>
        <v>Adult</v>
      </c>
    </row>
    <row r="128" spans="1:15" x14ac:dyDescent="0.25">
      <c r="A128" s="1">
        <v>4279</v>
      </c>
      <c r="B128" s="1" t="s">
        <v>254</v>
      </c>
      <c r="C128" s="1" t="s">
        <v>34</v>
      </c>
      <c r="D128" s="1">
        <v>42</v>
      </c>
      <c r="E128" s="1">
        <v>17</v>
      </c>
      <c r="F128" s="1" t="s">
        <v>954</v>
      </c>
      <c r="G128" s="1" t="s">
        <v>23</v>
      </c>
      <c r="H128" s="1" t="s">
        <v>24</v>
      </c>
      <c r="I128" s="1" t="s">
        <v>18</v>
      </c>
      <c r="J128" s="1">
        <v>32</v>
      </c>
      <c r="K128" s="1" t="s">
        <v>37</v>
      </c>
      <c r="L128" s="3">
        <v>85000</v>
      </c>
      <c r="M128" s="3">
        <v>68000</v>
      </c>
      <c r="N128" s="1" t="s">
        <v>29</v>
      </c>
      <c r="O128" s="5" t="str" cm="1">
        <f t="array" ref="O128">_xlfn.IFS(Table1[[#This Row],[Age]]&lt;25,"Young",Table1[[#This Row],[Age]]&lt;45,"Adult",Table1[[#This Row],[Age]]&gt;=45,"Old")</f>
        <v>Adult</v>
      </c>
    </row>
    <row r="129" spans="1:15" x14ac:dyDescent="0.25">
      <c r="A129" s="1">
        <v>5695</v>
      </c>
      <c r="B129" s="1" t="s">
        <v>46</v>
      </c>
      <c r="C129" s="1" t="s">
        <v>148</v>
      </c>
      <c r="D129" s="1">
        <v>53</v>
      </c>
      <c r="E129" s="1">
        <v>4</v>
      </c>
      <c r="F129" s="1" t="s">
        <v>953</v>
      </c>
      <c r="G129" s="1" t="s">
        <v>23</v>
      </c>
      <c r="H129" s="1" t="s">
        <v>24</v>
      </c>
      <c r="I129" s="1" t="s">
        <v>18</v>
      </c>
      <c r="J129" s="1">
        <v>20</v>
      </c>
      <c r="K129" s="1" t="s">
        <v>37</v>
      </c>
      <c r="L129" s="3">
        <v>99775</v>
      </c>
      <c r="M129" s="3">
        <v>49887.5</v>
      </c>
      <c r="N129" s="1" t="s">
        <v>20</v>
      </c>
      <c r="O129" s="5" t="str" cm="1">
        <f t="array" ref="O129">_xlfn.IFS(Table1[[#This Row],[Age]]&lt;25,"Young",Table1[[#This Row],[Age]]&lt;45,"Adult",Table1[[#This Row],[Age]]&gt;=45,"Old")</f>
        <v>Old</v>
      </c>
    </row>
    <row r="130" spans="1:15" x14ac:dyDescent="0.25">
      <c r="A130" s="1">
        <v>21247</v>
      </c>
      <c r="B130" s="1" t="s">
        <v>255</v>
      </c>
      <c r="C130" s="1" t="s">
        <v>83</v>
      </c>
      <c r="D130" s="1">
        <v>59</v>
      </c>
      <c r="E130" s="1">
        <v>25</v>
      </c>
      <c r="F130" s="1" t="s">
        <v>953</v>
      </c>
      <c r="G130" s="1" t="s">
        <v>45</v>
      </c>
      <c r="H130" s="1" t="s">
        <v>32</v>
      </c>
      <c r="I130" s="1" t="s">
        <v>18</v>
      </c>
      <c r="J130" s="1">
        <v>40</v>
      </c>
      <c r="K130" s="1" t="s">
        <v>37</v>
      </c>
      <c r="L130" s="3">
        <v>102177</v>
      </c>
      <c r="M130" s="3">
        <v>127721.25</v>
      </c>
      <c r="N130" s="1" t="s">
        <v>26</v>
      </c>
      <c r="O130" s="5" t="str" cm="1">
        <f t="array" ref="O130">_xlfn.IFS(Table1[[#This Row],[Age]]&lt;25,"Young",Table1[[#This Row],[Age]]&lt;45,"Adult",Table1[[#This Row],[Age]]&gt;=45,"Old")</f>
        <v>Old</v>
      </c>
    </row>
    <row r="131" spans="1:15" x14ac:dyDescent="0.25">
      <c r="A131" s="1">
        <v>5929</v>
      </c>
      <c r="B131" s="1" t="s">
        <v>256</v>
      </c>
      <c r="C131" s="1" t="s">
        <v>257</v>
      </c>
      <c r="D131" s="1">
        <v>40</v>
      </c>
      <c r="E131" s="1">
        <v>18</v>
      </c>
      <c r="F131" s="1" t="s">
        <v>954</v>
      </c>
      <c r="G131" s="1" t="s">
        <v>35</v>
      </c>
      <c r="H131" s="1" t="s">
        <v>24</v>
      </c>
      <c r="I131" s="1" t="s">
        <v>18</v>
      </c>
      <c r="J131" s="1">
        <v>20</v>
      </c>
      <c r="K131" s="1" t="s">
        <v>37</v>
      </c>
      <c r="L131" s="3">
        <v>85000</v>
      </c>
      <c r="M131" s="3">
        <v>42500</v>
      </c>
      <c r="N131" s="1" t="s">
        <v>29</v>
      </c>
      <c r="O131" s="5" t="str" cm="1">
        <f t="array" ref="O131">_xlfn.IFS(Table1[[#This Row],[Age]]&lt;25,"Young",Table1[[#This Row],[Age]]&lt;45,"Adult",Table1[[#This Row],[Age]]&gt;=45,"Old")</f>
        <v>Adult</v>
      </c>
    </row>
    <row r="132" spans="1:15" x14ac:dyDescent="0.25">
      <c r="A132" s="1">
        <v>14520</v>
      </c>
      <c r="B132" s="1" t="s">
        <v>117</v>
      </c>
      <c r="C132" s="1" t="s">
        <v>88</v>
      </c>
      <c r="D132" s="1">
        <v>32</v>
      </c>
      <c r="E132" s="1">
        <v>11</v>
      </c>
      <c r="F132" s="1" t="s">
        <v>953</v>
      </c>
      <c r="G132" s="1" t="s">
        <v>23</v>
      </c>
      <c r="H132" s="1" t="s">
        <v>24</v>
      </c>
      <c r="I132" s="1" t="s">
        <v>18</v>
      </c>
      <c r="J132" s="1">
        <v>40</v>
      </c>
      <c r="K132" s="1" t="s">
        <v>37</v>
      </c>
      <c r="L132" s="3">
        <v>107000</v>
      </c>
      <c r="M132" s="3">
        <v>107000</v>
      </c>
      <c r="N132" s="1" t="s">
        <v>29</v>
      </c>
      <c r="O132" s="5" t="str" cm="1">
        <f t="array" ref="O132">_xlfn.IFS(Table1[[#This Row],[Age]]&lt;25,"Young",Table1[[#This Row],[Age]]&lt;45,"Adult",Table1[[#This Row],[Age]]&gt;=45,"Old")</f>
        <v>Adult</v>
      </c>
    </row>
    <row r="133" spans="1:15" x14ac:dyDescent="0.25">
      <c r="A133" s="1">
        <v>20230</v>
      </c>
      <c r="B133" s="1" t="s">
        <v>258</v>
      </c>
      <c r="C133" s="1" t="s">
        <v>259</v>
      </c>
      <c r="D133" s="1">
        <v>42</v>
      </c>
      <c r="E133" s="1">
        <v>23</v>
      </c>
      <c r="F133" s="1" t="s">
        <v>953</v>
      </c>
      <c r="G133" s="1" t="s">
        <v>35</v>
      </c>
      <c r="H133" s="1" t="s">
        <v>36</v>
      </c>
      <c r="I133" s="1" t="s">
        <v>51</v>
      </c>
      <c r="J133" s="1">
        <v>32</v>
      </c>
      <c r="K133" s="1" t="s">
        <v>42</v>
      </c>
      <c r="L133" s="3">
        <v>79042</v>
      </c>
      <c r="M133" s="3">
        <v>63233.599999999999</v>
      </c>
      <c r="N133" s="1" t="s">
        <v>29</v>
      </c>
      <c r="O133" s="5" t="str" cm="1">
        <f t="array" ref="O133">_xlfn.IFS(Table1[[#This Row],[Age]]&lt;25,"Young",Table1[[#This Row],[Age]]&lt;45,"Adult",Table1[[#This Row],[Age]]&gt;=45,"Old")</f>
        <v>Adult</v>
      </c>
    </row>
    <row r="134" spans="1:15" x14ac:dyDescent="0.25">
      <c r="A134" s="1">
        <v>2768</v>
      </c>
      <c r="B134" s="1" t="s">
        <v>110</v>
      </c>
      <c r="C134" s="1" t="s">
        <v>260</v>
      </c>
      <c r="D134" s="1">
        <v>44</v>
      </c>
      <c r="E134" s="1">
        <v>23</v>
      </c>
      <c r="F134" s="1" t="s">
        <v>953</v>
      </c>
      <c r="G134" s="1" t="s">
        <v>50</v>
      </c>
      <c r="H134" s="1" t="s">
        <v>32</v>
      </c>
      <c r="I134" s="1" t="s">
        <v>18</v>
      </c>
      <c r="J134" s="1">
        <v>40</v>
      </c>
      <c r="K134" s="1" t="s">
        <v>37</v>
      </c>
      <c r="L134" s="3">
        <v>94262</v>
      </c>
      <c r="M134" s="3">
        <v>94262</v>
      </c>
      <c r="N134" s="1" t="s">
        <v>29</v>
      </c>
      <c r="O134" s="5" t="str" cm="1">
        <f t="array" ref="O134">_xlfn.IFS(Table1[[#This Row],[Age]]&lt;25,"Young",Table1[[#This Row],[Age]]&lt;45,"Adult",Table1[[#This Row],[Age]]&gt;=45,"Old")</f>
        <v>Adult</v>
      </c>
    </row>
    <row r="135" spans="1:15" x14ac:dyDescent="0.25">
      <c r="A135" s="1">
        <v>13295</v>
      </c>
      <c r="B135" s="1" t="s">
        <v>106</v>
      </c>
      <c r="C135" s="1" t="s">
        <v>261</v>
      </c>
      <c r="D135" s="1">
        <v>26</v>
      </c>
      <c r="E135" s="1">
        <v>7</v>
      </c>
      <c r="F135" s="1" t="s">
        <v>953</v>
      </c>
      <c r="G135" s="1" t="s">
        <v>50</v>
      </c>
      <c r="H135" s="1" t="s">
        <v>32</v>
      </c>
      <c r="I135" s="1" t="s">
        <v>18</v>
      </c>
      <c r="J135" s="1">
        <v>40</v>
      </c>
      <c r="K135" s="1" t="s">
        <v>37</v>
      </c>
      <c r="L135" s="3">
        <v>101279</v>
      </c>
      <c r="M135" s="3">
        <v>101279</v>
      </c>
      <c r="N135" s="1" t="s">
        <v>26</v>
      </c>
      <c r="O135" s="5" t="str" cm="1">
        <f t="array" ref="O135">_xlfn.IFS(Table1[[#This Row],[Age]]&lt;25,"Young",Table1[[#This Row],[Age]]&lt;45,"Adult",Table1[[#This Row],[Age]]&gt;=45,"Old")</f>
        <v>Adult</v>
      </c>
    </row>
    <row r="136" spans="1:15" x14ac:dyDescent="0.25">
      <c r="A136" s="1">
        <v>13191</v>
      </c>
      <c r="B136" s="1" t="s">
        <v>162</v>
      </c>
      <c r="C136" s="1" t="s">
        <v>262</v>
      </c>
      <c r="D136" s="1">
        <v>44</v>
      </c>
      <c r="E136" s="1">
        <v>9</v>
      </c>
      <c r="F136" s="1" t="s">
        <v>953</v>
      </c>
      <c r="G136" s="1" t="s">
        <v>16</v>
      </c>
      <c r="H136" s="1" t="s">
        <v>36</v>
      </c>
      <c r="I136" s="1" t="s">
        <v>18</v>
      </c>
      <c r="J136" s="1">
        <v>40</v>
      </c>
      <c r="K136" s="1" t="s">
        <v>19</v>
      </c>
      <c r="L136" s="3">
        <v>135465</v>
      </c>
      <c r="M136" s="3">
        <v>135465</v>
      </c>
      <c r="N136" s="1" t="s">
        <v>26</v>
      </c>
      <c r="O136" s="5" t="str" cm="1">
        <f t="array" ref="O136">_xlfn.IFS(Table1[[#This Row],[Age]]&lt;25,"Young",Table1[[#This Row],[Age]]&lt;45,"Adult",Table1[[#This Row],[Age]]&gt;=45,"Old")</f>
        <v>Adult</v>
      </c>
    </row>
    <row r="137" spans="1:15" x14ac:dyDescent="0.25">
      <c r="A137" s="1">
        <v>20213</v>
      </c>
      <c r="B137" s="1" t="s">
        <v>263</v>
      </c>
      <c r="C137" s="1" t="s">
        <v>264</v>
      </c>
      <c r="D137" s="1">
        <v>43</v>
      </c>
      <c r="E137" s="1">
        <v>17</v>
      </c>
      <c r="F137" s="1" t="s">
        <v>954</v>
      </c>
      <c r="G137" s="1" t="s">
        <v>35</v>
      </c>
      <c r="H137" s="1" t="s">
        <v>32</v>
      </c>
      <c r="I137" s="1" t="s">
        <v>18</v>
      </c>
      <c r="J137" s="1">
        <v>40</v>
      </c>
      <c r="K137" s="1" t="s">
        <v>25</v>
      </c>
      <c r="L137" s="3">
        <v>99502</v>
      </c>
      <c r="M137" s="3">
        <v>99502</v>
      </c>
      <c r="N137" s="1" t="s">
        <v>29</v>
      </c>
      <c r="O137" s="5" t="str" cm="1">
        <f t="array" ref="O137">_xlfn.IFS(Table1[[#This Row],[Age]]&lt;25,"Young",Table1[[#This Row],[Age]]&lt;45,"Adult",Table1[[#This Row],[Age]]&gt;=45,"Old")</f>
        <v>Adult</v>
      </c>
    </row>
    <row r="138" spans="1:15" x14ac:dyDescent="0.25">
      <c r="A138" s="1">
        <v>16024</v>
      </c>
      <c r="B138" s="1" t="s">
        <v>265</v>
      </c>
      <c r="C138" s="1" t="s">
        <v>266</v>
      </c>
      <c r="D138" s="1">
        <v>37</v>
      </c>
      <c r="E138" s="1">
        <v>10</v>
      </c>
      <c r="F138" s="1" t="s">
        <v>954</v>
      </c>
      <c r="G138" s="1" t="s">
        <v>16</v>
      </c>
      <c r="H138" s="1" t="s">
        <v>17</v>
      </c>
      <c r="I138" s="1" t="s">
        <v>18</v>
      </c>
      <c r="J138" s="1">
        <v>20</v>
      </c>
      <c r="K138" s="1" t="s">
        <v>37</v>
      </c>
      <c r="L138" s="3">
        <v>85000</v>
      </c>
      <c r="M138" s="3">
        <v>42500</v>
      </c>
      <c r="N138" s="1" t="s">
        <v>29</v>
      </c>
      <c r="O138" s="5" t="str" cm="1">
        <f t="array" ref="O138">_xlfn.IFS(Table1[[#This Row],[Age]]&lt;25,"Young",Table1[[#This Row],[Age]]&lt;45,"Adult",Table1[[#This Row],[Age]]&gt;=45,"Old")</f>
        <v>Adult</v>
      </c>
    </row>
    <row r="139" spans="1:15" x14ac:dyDescent="0.25">
      <c r="A139" s="1">
        <v>18025</v>
      </c>
      <c r="B139" s="1" t="s">
        <v>106</v>
      </c>
      <c r="C139" s="1" t="s">
        <v>267</v>
      </c>
      <c r="D139" s="1">
        <v>56</v>
      </c>
      <c r="E139" s="1">
        <v>38</v>
      </c>
      <c r="F139" s="1" t="s">
        <v>953</v>
      </c>
      <c r="G139" s="1" t="s">
        <v>16</v>
      </c>
      <c r="H139" s="1" t="s">
        <v>24</v>
      </c>
      <c r="I139" s="1" t="s">
        <v>18</v>
      </c>
      <c r="J139" s="1">
        <v>40</v>
      </c>
      <c r="K139" s="1" t="s">
        <v>25</v>
      </c>
      <c r="L139" s="3">
        <v>122000</v>
      </c>
      <c r="M139" s="3">
        <v>122000</v>
      </c>
      <c r="N139" s="1" t="s">
        <v>29</v>
      </c>
      <c r="O139" s="5" t="str" cm="1">
        <f t="array" ref="O139">_xlfn.IFS(Table1[[#This Row],[Age]]&lt;25,"Young",Table1[[#This Row],[Age]]&lt;45,"Adult",Table1[[#This Row],[Age]]&gt;=45,"Old")</f>
        <v>Old</v>
      </c>
    </row>
    <row r="140" spans="1:15" x14ac:dyDescent="0.25">
      <c r="A140" s="1">
        <v>8925</v>
      </c>
      <c r="B140" s="1" t="s">
        <v>268</v>
      </c>
      <c r="C140" s="1" t="s">
        <v>269</v>
      </c>
      <c r="D140" s="1">
        <v>26</v>
      </c>
      <c r="E140" s="1">
        <v>7</v>
      </c>
      <c r="F140" s="1" t="s">
        <v>954</v>
      </c>
      <c r="G140" s="1" t="s">
        <v>23</v>
      </c>
      <c r="H140" s="1" t="s">
        <v>36</v>
      </c>
      <c r="I140" s="1" t="s">
        <v>18</v>
      </c>
      <c r="J140" s="1">
        <v>40</v>
      </c>
      <c r="K140" s="1" t="s">
        <v>25</v>
      </c>
      <c r="L140" s="3">
        <v>107979</v>
      </c>
      <c r="M140" s="3">
        <v>107979</v>
      </c>
      <c r="N140" s="1" t="s">
        <v>29</v>
      </c>
      <c r="O140" s="5" t="str" cm="1">
        <f t="array" ref="O140">_xlfn.IFS(Table1[[#This Row],[Age]]&lt;25,"Young",Table1[[#This Row],[Age]]&lt;45,"Adult",Table1[[#This Row],[Age]]&gt;=45,"Old")</f>
        <v>Adult</v>
      </c>
    </row>
    <row r="141" spans="1:15" x14ac:dyDescent="0.25">
      <c r="A141" s="1">
        <v>18815</v>
      </c>
      <c r="B141" s="1" t="s">
        <v>270</v>
      </c>
      <c r="C141" s="1" t="s">
        <v>271</v>
      </c>
      <c r="D141" s="1">
        <v>48</v>
      </c>
      <c r="E141" s="1">
        <v>30</v>
      </c>
      <c r="F141" s="1" t="s">
        <v>954</v>
      </c>
      <c r="G141" s="1" t="s">
        <v>50</v>
      </c>
      <c r="H141" s="1" t="s">
        <v>32</v>
      </c>
      <c r="I141" s="1" t="s">
        <v>18</v>
      </c>
      <c r="J141" s="1">
        <v>40</v>
      </c>
      <c r="K141" s="1" t="s">
        <v>25</v>
      </c>
      <c r="L141" s="3">
        <v>98000</v>
      </c>
      <c r="M141" s="3">
        <v>98000</v>
      </c>
      <c r="N141" s="1" t="s">
        <v>29</v>
      </c>
      <c r="O141" s="5" t="str" cm="1">
        <f t="array" ref="O141">_xlfn.IFS(Table1[[#This Row],[Age]]&lt;25,"Young",Table1[[#This Row],[Age]]&lt;45,"Adult",Table1[[#This Row],[Age]]&gt;=45,"Old")</f>
        <v>Old</v>
      </c>
    </row>
    <row r="142" spans="1:15" x14ac:dyDescent="0.25">
      <c r="A142" s="1">
        <v>1063</v>
      </c>
      <c r="B142" s="1" t="s">
        <v>182</v>
      </c>
      <c r="C142" s="1" t="s">
        <v>272</v>
      </c>
      <c r="D142" s="1">
        <v>45</v>
      </c>
      <c r="E142" s="1">
        <v>4</v>
      </c>
      <c r="F142" s="1" t="s">
        <v>953</v>
      </c>
      <c r="G142" s="1" t="s">
        <v>35</v>
      </c>
      <c r="H142" s="1" t="s">
        <v>24</v>
      </c>
      <c r="I142" s="1" t="s">
        <v>18</v>
      </c>
      <c r="J142" s="1">
        <v>40</v>
      </c>
      <c r="K142" s="1" t="s">
        <v>37</v>
      </c>
      <c r="L142" s="3">
        <v>92747</v>
      </c>
      <c r="M142" s="3">
        <v>92747</v>
      </c>
      <c r="N142" s="1" t="s">
        <v>29</v>
      </c>
      <c r="O142" s="5" t="str" cm="1">
        <f t="array" ref="O142">_xlfn.IFS(Table1[[#This Row],[Age]]&lt;25,"Young",Table1[[#This Row],[Age]]&lt;45,"Adult",Table1[[#This Row],[Age]]&gt;=45,"Old")</f>
        <v>Old</v>
      </c>
    </row>
    <row r="143" spans="1:15" x14ac:dyDescent="0.25">
      <c r="A143" s="1">
        <v>4440</v>
      </c>
      <c r="B143" s="1" t="s">
        <v>204</v>
      </c>
      <c r="C143" s="1" t="s">
        <v>273</v>
      </c>
      <c r="D143" s="1">
        <v>44</v>
      </c>
      <c r="E143" s="1">
        <v>19</v>
      </c>
      <c r="F143" s="1" t="s">
        <v>953</v>
      </c>
      <c r="G143" s="1" t="s">
        <v>35</v>
      </c>
      <c r="H143" s="1" t="s">
        <v>119</v>
      </c>
      <c r="I143" s="1" t="s">
        <v>51</v>
      </c>
      <c r="J143" s="1">
        <v>20</v>
      </c>
      <c r="K143" s="1" t="s">
        <v>19</v>
      </c>
      <c r="L143" s="3">
        <v>124200</v>
      </c>
      <c r="M143" s="3">
        <v>62100</v>
      </c>
      <c r="N143" s="1" t="s">
        <v>29</v>
      </c>
      <c r="O143" s="5" t="str" cm="1">
        <f t="array" ref="O143">_xlfn.IFS(Table1[[#This Row],[Age]]&lt;25,"Young",Table1[[#This Row],[Age]]&lt;45,"Adult",Table1[[#This Row],[Age]]&gt;=45,"Old")</f>
        <v>Adult</v>
      </c>
    </row>
    <row r="144" spans="1:15" x14ac:dyDescent="0.25">
      <c r="A144" s="1">
        <v>18282</v>
      </c>
      <c r="B144" s="1" t="s">
        <v>274</v>
      </c>
      <c r="C144" s="1" t="s">
        <v>275</v>
      </c>
      <c r="D144" s="1">
        <v>43</v>
      </c>
      <c r="E144" s="1">
        <v>8</v>
      </c>
      <c r="F144" s="1" t="s">
        <v>953</v>
      </c>
      <c r="G144" s="1" t="s">
        <v>16</v>
      </c>
      <c r="H144" s="1" t="s">
        <v>17</v>
      </c>
      <c r="I144" s="1" t="s">
        <v>51</v>
      </c>
      <c r="J144" s="1">
        <v>40</v>
      </c>
      <c r="K144" s="1" t="s">
        <v>25</v>
      </c>
      <c r="L144" s="3">
        <v>117932</v>
      </c>
      <c r="M144" s="3">
        <v>117932</v>
      </c>
      <c r="N144" s="1" t="s">
        <v>29</v>
      </c>
      <c r="O144" s="5" t="str" cm="1">
        <f t="array" ref="O144">_xlfn.IFS(Table1[[#This Row],[Age]]&lt;25,"Young",Table1[[#This Row],[Age]]&lt;45,"Adult",Table1[[#This Row],[Age]]&gt;=45,"Old")</f>
        <v>Adult</v>
      </c>
    </row>
    <row r="145" spans="1:15" x14ac:dyDescent="0.25">
      <c r="A145" s="1">
        <v>9430</v>
      </c>
      <c r="B145" s="1" t="s">
        <v>276</v>
      </c>
      <c r="C145" s="1" t="s">
        <v>277</v>
      </c>
      <c r="D145" s="1">
        <v>33</v>
      </c>
      <c r="E145" s="1">
        <v>4</v>
      </c>
      <c r="F145" s="1" t="s">
        <v>953</v>
      </c>
      <c r="G145" s="1" t="s">
        <v>45</v>
      </c>
      <c r="H145" s="1" t="s">
        <v>36</v>
      </c>
      <c r="I145" s="1" t="s">
        <v>18</v>
      </c>
      <c r="J145" s="1">
        <v>40</v>
      </c>
      <c r="K145" s="1" t="s">
        <v>19</v>
      </c>
      <c r="L145" s="3">
        <v>138000</v>
      </c>
      <c r="M145" s="3">
        <v>138000</v>
      </c>
      <c r="N145" s="1" t="s">
        <v>29</v>
      </c>
      <c r="O145" s="5" t="str" cm="1">
        <f t="array" ref="O145">_xlfn.IFS(Table1[[#This Row],[Age]]&lt;25,"Young",Table1[[#This Row],[Age]]&lt;45,"Adult",Table1[[#This Row],[Age]]&gt;=45,"Old")</f>
        <v>Adult</v>
      </c>
    </row>
    <row r="146" spans="1:15" x14ac:dyDescent="0.25">
      <c r="A146" s="1">
        <v>5695</v>
      </c>
      <c r="B146" s="1" t="s">
        <v>46</v>
      </c>
      <c r="C146" s="1" t="s">
        <v>148</v>
      </c>
      <c r="D146" s="1">
        <v>53</v>
      </c>
      <c r="E146" s="1">
        <v>4</v>
      </c>
      <c r="F146" s="1" t="s">
        <v>953</v>
      </c>
      <c r="G146" s="1" t="s">
        <v>23</v>
      </c>
      <c r="H146" s="1" t="s">
        <v>17</v>
      </c>
      <c r="I146" s="1" t="s">
        <v>18</v>
      </c>
      <c r="J146" s="1">
        <v>20</v>
      </c>
      <c r="K146" s="1" t="s">
        <v>37</v>
      </c>
      <c r="L146" s="3">
        <v>99775</v>
      </c>
      <c r="M146" s="3">
        <v>49887.5</v>
      </c>
      <c r="N146" s="1" t="s">
        <v>20</v>
      </c>
      <c r="O146" s="5" t="str" cm="1">
        <f t="array" ref="O146">_xlfn.IFS(Table1[[#This Row],[Age]]&lt;25,"Young",Table1[[#This Row],[Age]]&lt;45,"Adult",Table1[[#This Row],[Age]]&gt;=45,"Old")</f>
        <v>Old</v>
      </c>
    </row>
    <row r="147" spans="1:15" x14ac:dyDescent="0.25">
      <c r="A147" s="1">
        <v>21690</v>
      </c>
      <c r="B147" s="1" t="s">
        <v>278</v>
      </c>
      <c r="C147" s="1" t="s">
        <v>279</v>
      </c>
      <c r="D147" s="1">
        <v>57</v>
      </c>
      <c r="E147" s="1">
        <v>16</v>
      </c>
      <c r="F147" s="1" t="s">
        <v>954</v>
      </c>
      <c r="G147" s="1" t="s">
        <v>23</v>
      </c>
      <c r="H147" s="1" t="s">
        <v>192</v>
      </c>
      <c r="I147" s="1" t="s">
        <v>51</v>
      </c>
      <c r="J147" s="1">
        <v>32</v>
      </c>
      <c r="K147" s="1" t="s">
        <v>25</v>
      </c>
      <c r="L147" s="3">
        <v>99787</v>
      </c>
      <c r="M147" s="3">
        <v>79829.600000000006</v>
      </c>
      <c r="N147" s="1" t="s">
        <v>29</v>
      </c>
      <c r="O147" s="5" t="str" cm="1">
        <f t="array" ref="O147">_xlfn.IFS(Table1[[#This Row],[Age]]&lt;25,"Young",Table1[[#This Row],[Age]]&lt;45,"Adult",Table1[[#This Row],[Age]]&gt;=45,"Old")</f>
        <v>Old</v>
      </c>
    </row>
    <row r="148" spans="1:15" x14ac:dyDescent="0.25">
      <c r="A148" s="1">
        <v>11833</v>
      </c>
      <c r="B148" s="1" t="s">
        <v>278</v>
      </c>
      <c r="C148" s="1" t="s">
        <v>280</v>
      </c>
      <c r="D148" s="1">
        <v>35</v>
      </c>
      <c r="E148" s="1">
        <v>4</v>
      </c>
      <c r="F148" s="1" t="s">
        <v>954</v>
      </c>
      <c r="G148" s="1" t="s">
        <v>50</v>
      </c>
      <c r="H148" s="1" t="s">
        <v>17</v>
      </c>
      <c r="I148" s="1" t="s">
        <v>18</v>
      </c>
      <c r="J148" s="1">
        <v>20</v>
      </c>
      <c r="K148" s="1" t="s">
        <v>37</v>
      </c>
      <c r="L148" s="3">
        <v>85000</v>
      </c>
      <c r="M148" s="3">
        <v>42500</v>
      </c>
      <c r="N148" s="1" t="s">
        <v>20</v>
      </c>
      <c r="O148" s="5" t="str" cm="1">
        <f t="array" ref="O148">_xlfn.IFS(Table1[[#This Row],[Age]]&lt;25,"Young",Table1[[#This Row],[Age]]&lt;45,"Adult",Table1[[#This Row],[Age]]&gt;=45,"Old")</f>
        <v>Adult</v>
      </c>
    </row>
    <row r="149" spans="1:15" x14ac:dyDescent="0.25">
      <c r="A149" s="1">
        <v>4342</v>
      </c>
      <c r="B149" s="1" t="s">
        <v>281</v>
      </c>
      <c r="C149" s="1" t="s">
        <v>282</v>
      </c>
      <c r="D149" s="1">
        <v>34</v>
      </c>
      <c r="E149" s="1">
        <v>0</v>
      </c>
      <c r="F149" s="1" t="s">
        <v>953</v>
      </c>
      <c r="G149" s="1" t="s">
        <v>23</v>
      </c>
      <c r="H149" s="1" t="s">
        <v>36</v>
      </c>
      <c r="I149" s="1" t="s">
        <v>18</v>
      </c>
      <c r="J149" s="1">
        <v>40</v>
      </c>
      <c r="K149" s="1" t="s">
        <v>25</v>
      </c>
      <c r="L149" s="3">
        <v>121136</v>
      </c>
      <c r="M149" s="3">
        <v>121136</v>
      </c>
      <c r="N149" s="1" t="s">
        <v>26</v>
      </c>
      <c r="O149" s="5" t="str" cm="1">
        <f t="array" ref="O149">_xlfn.IFS(Table1[[#This Row],[Age]]&lt;25,"Young",Table1[[#This Row],[Age]]&lt;45,"Adult",Table1[[#This Row],[Age]]&gt;=45,"Old")</f>
        <v>Adult</v>
      </c>
    </row>
    <row r="150" spans="1:15" x14ac:dyDescent="0.25">
      <c r="A150" s="1">
        <v>10304</v>
      </c>
      <c r="B150" s="1" t="s">
        <v>283</v>
      </c>
      <c r="C150" s="1" t="s">
        <v>284</v>
      </c>
      <c r="D150" s="1">
        <v>31</v>
      </c>
      <c r="E150" s="1">
        <v>3</v>
      </c>
      <c r="F150" s="1" t="s">
        <v>953</v>
      </c>
      <c r="G150" s="1" t="s">
        <v>16</v>
      </c>
      <c r="H150" s="1" t="s">
        <v>17</v>
      </c>
      <c r="I150" s="1" t="s">
        <v>18</v>
      </c>
      <c r="J150" s="1">
        <v>40</v>
      </c>
      <c r="K150" s="1" t="s">
        <v>37</v>
      </c>
      <c r="L150" s="3">
        <v>106245</v>
      </c>
      <c r="M150" s="3">
        <v>106245</v>
      </c>
      <c r="N150" s="1" t="s">
        <v>29</v>
      </c>
      <c r="O150" s="5" t="str" cm="1">
        <f t="array" ref="O150">_xlfn.IFS(Table1[[#This Row],[Age]]&lt;25,"Young",Table1[[#This Row],[Age]]&lt;45,"Adult",Table1[[#This Row],[Age]]&gt;=45,"Old")</f>
        <v>Adult</v>
      </c>
    </row>
    <row r="151" spans="1:15" x14ac:dyDescent="0.25">
      <c r="A151" s="1">
        <v>14933</v>
      </c>
      <c r="B151" s="1" t="s">
        <v>106</v>
      </c>
      <c r="C151" s="1" t="s">
        <v>285</v>
      </c>
      <c r="D151" s="1">
        <v>49</v>
      </c>
      <c r="E151" s="1">
        <v>8</v>
      </c>
      <c r="F151" s="1" t="s">
        <v>953</v>
      </c>
      <c r="G151" s="1" t="s">
        <v>35</v>
      </c>
      <c r="H151" s="1" t="s">
        <v>32</v>
      </c>
      <c r="I151" s="1" t="s">
        <v>18</v>
      </c>
      <c r="J151" s="1">
        <v>32</v>
      </c>
      <c r="K151" s="1" t="s">
        <v>37</v>
      </c>
      <c r="L151" s="3">
        <v>95387</v>
      </c>
      <c r="M151" s="3">
        <v>76309.600000000006</v>
      </c>
      <c r="N151" s="1" t="s">
        <v>20</v>
      </c>
      <c r="O151" s="5" t="str" cm="1">
        <f t="array" ref="O151">_xlfn.IFS(Table1[[#This Row],[Age]]&lt;25,"Young",Table1[[#This Row],[Age]]&lt;45,"Adult",Table1[[#This Row],[Age]]&gt;=45,"Old")</f>
        <v>Old</v>
      </c>
    </row>
    <row r="152" spans="1:15" x14ac:dyDescent="0.25">
      <c r="A152" s="1">
        <v>5869</v>
      </c>
      <c r="B152" s="1" t="s">
        <v>38</v>
      </c>
      <c r="C152" s="1" t="s">
        <v>85</v>
      </c>
      <c r="D152" s="1">
        <v>54</v>
      </c>
      <c r="E152" s="1">
        <v>26</v>
      </c>
      <c r="F152" s="1" t="s">
        <v>954</v>
      </c>
      <c r="G152" s="1" t="s">
        <v>35</v>
      </c>
      <c r="H152" s="1" t="s">
        <v>24</v>
      </c>
      <c r="I152" s="1" t="s">
        <v>18</v>
      </c>
      <c r="J152" s="1">
        <v>32</v>
      </c>
      <c r="K152" s="1" t="s">
        <v>37</v>
      </c>
      <c r="L152" s="3">
        <v>85573</v>
      </c>
      <c r="M152" s="3">
        <v>68458.399999999994</v>
      </c>
      <c r="N152" s="1" t="s">
        <v>20</v>
      </c>
      <c r="O152" s="5" t="str" cm="1">
        <f t="array" ref="O152">_xlfn.IFS(Table1[[#This Row],[Age]]&lt;25,"Young",Table1[[#This Row],[Age]]&lt;45,"Adult",Table1[[#This Row],[Age]]&gt;=45,"Old")</f>
        <v>Old</v>
      </c>
    </row>
    <row r="153" spans="1:15" x14ac:dyDescent="0.25">
      <c r="A153" s="1">
        <v>15554</v>
      </c>
      <c r="B153" s="1" t="s">
        <v>65</v>
      </c>
      <c r="C153" s="1" t="s">
        <v>236</v>
      </c>
      <c r="D153" s="1">
        <v>64</v>
      </c>
      <c r="E153" s="1">
        <v>6</v>
      </c>
      <c r="F153" s="1" t="s">
        <v>953</v>
      </c>
      <c r="G153" s="1" t="s">
        <v>23</v>
      </c>
      <c r="H153" s="1" t="s">
        <v>17</v>
      </c>
      <c r="I153" s="1" t="s">
        <v>18</v>
      </c>
      <c r="J153" s="1">
        <v>20</v>
      </c>
      <c r="K153" s="1" t="s">
        <v>25</v>
      </c>
      <c r="L153" s="3">
        <v>122000</v>
      </c>
      <c r="M153" s="3">
        <v>61000</v>
      </c>
      <c r="N153" s="1" t="s">
        <v>26</v>
      </c>
      <c r="O153" s="5" t="str" cm="1">
        <f t="array" ref="O153">_xlfn.IFS(Table1[[#This Row],[Age]]&lt;25,"Young",Table1[[#This Row],[Age]]&lt;45,"Adult",Table1[[#This Row],[Age]]&gt;=45,"Old")</f>
        <v>Old</v>
      </c>
    </row>
    <row r="154" spans="1:15" x14ac:dyDescent="0.25">
      <c r="A154" s="1">
        <v>793</v>
      </c>
      <c r="B154" s="1" t="s">
        <v>286</v>
      </c>
      <c r="C154" s="1" t="s">
        <v>287</v>
      </c>
      <c r="D154" s="1">
        <v>42</v>
      </c>
      <c r="E154" s="1">
        <v>14</v>
      </c>
      <c r="F154" s="1" t="s">
        <v>953</v>
      </c>
      <c r="G154" s="1" t="s">
        <v>16</v>
      </c>
      <c r="H154" s="1" t="s">
        <v>24</v>
      </c>
      <c r="I154" s="1" t="s">
        <v>18</v>
      </c>
      <c r="J154" s="1">
        <v>40</v>
      </c>
      <c r="K154" s="1" t="s">
        <v>37</v>
      </c>
      <c r="L154" s="3">
        <v>101950</v>
      </c>
      <c r="M154" s="3">
        <v>101950</v>
      </c>
      <c r="N154" s="1" t="s">
        <v>29</v>
      </c>
      <c r="O154" s="5" t="str" cm="1">
        <f t="array" ref="O154">_xlfn.IFS(Table1[[#This Row],[Age]]&lt;25,"Young",Table1[[#This Row],[Age]]&lt;45,"Adult",Table1[[#This Row],[Age]]&gt;=45,"Old")</f>
        <v>Adult</v>
      </c>
    </row>
    <row r="155" spans="1:15" x14ac:dyDescent="0.25">
      <c r="A155" s="1">
        <v>9317</v>
      </c>
      <c r="B155" s="1" t="s">
        <v>72</v>
      </c>
      <c r="C155" s="1" t="s">
        <v>288</v>
      </c>
      <c r="D155" s="1">
        <v>50</v>
      </c>
      <c r="E155" s="1">
        <v>25</v>
      </c>
      <c r="F155" s="1" t="s">
        <v>953</v>
      </c>
      <c r="G155" s="1" t="s">
        <v>23</v>
      </c>
      <c r="H155" s="1" t="s">
        <v>36</v>
      </c>
      <c r="I155" s="1" t="s">
        <v>18</v>
      </c>
      <c r="J155" s="1">
        <v>20</v>
      </c>
      <c r="K155" s="1" t="s">
        <v>42</v>
      </c>
      <c r="L155" s="3">
        <v>73440</v>
      </c>
      <c r="M155" s="3">
        <v>45900</v>
      </c>
      <c r="N155" s="1" t="s">
        <v>29</v>
      </c>
      <c r="O155" s="5" t="str" cm="1">
        <f t="array" ref="O155">_xlfn.IFS(Table1[[#This Row],[Age]]&lt;25,"Young",Table1[[#This Row],[Age]]&lt;45,"Adult",Table1[[#This Row],[Age]]&gt;=45,"Old")</f>
        <v>Old</v>
      </c>
    </row>
    <row r="156" spans="1:15" x14ac:dyDescent="0.25">
      <c r="A156" s="1">
        <v>17090</v>
      </c>
      <c r="B156" s="1" t="s">
        <v>289</v>
      </c>
      <c r="C156" s="1" t="s">
        <v>163</v>
      </c>
      <c r="D156" s="1">
        <v>50</v>
      </c>
      <c r="E156" s="1">
        <v>11</v>
      </c>
      <c r="F156" s="1" t="s">
        <v>954</v>
      </c>
      <c r="G156" s="1" t="s">
        <v>50</v>
      </c>
      <c r="H156" s="1" t="s">
        <v>36</v>
      </c>
      <c r="I156" s="1" t="s">
        <v>18</v>
      </c>
      <c r="J156" s="1">
        <v>32</v>
      </c>
      <c r="K156" s="1" t="s">
        <v>25</v>
      </c>
      <c r="L156" s="3">
        <v>98000</v>
      </c>
      <c r="M156" s="3">
        <v>78400</v>
      </c>
      <c r="N156" s="1" t="s">
        <v>20</v>
      </c>
      <c r="O156" s="5" t="str" cm="1">
        <f t="array" ref="O156">_xlfn.IFS(Table1[[#This Row],[Age]]&lt;25,"Young",Table1[[#This Row],[Age]]&lt;45,"Adult",Table1[[#This Row],[Age]]&gt;=45,"Old")</f>
        <v>Old</v>
      </c>
    </row>
    <row r="157" spans="1:15" x14ac:dyDescent="0.25">
      <c r="A157" s="1">
        <v>6541</v>
      </c>
      <c r="B157" s="1" t="s">
        <v>290</v>
      </c>
      <c r="C157" s="1" t="s">
        <v>291</v>
      </c>
      <c r="D157" s="1">
        <v>43</v>
      </c>
      <c r="E157" s="1">
        <v>18</v>
      </c>
      <c r="F157" s="1" t="s">
        <v>954</v>
      </c>
      <c r="G157" s="1" t="s">
        <v>50</v>
      </c>
      <c r="H157" s="1" t="s">
        <v>36</v>
      </c>
      <c r="I157" s="1" t="s">
        <v>18</v>
      </c>
      <c r="J157" s="1">
        <v>20</v>
      </c>
      <c r="K157" s="1" t="s">
        <v>37</v>
      </c>
      <c r="L157" s="3">
        <v>85000</v>
      </c>
      <c r="M157" s="3">
        <v>42500</v>
      </c>
      <c r="N157" s="1" t="s">
        <v>29</v>
      </c>
      <c r="O157" s="5" t="str" cm="1">
        <f t="array" ref="O157">_xlfn.IFS(Table1[[#This Row],[Age]]&lt;25,"Young",Table1[[#This Row],[Age]]&lt;45,"Adult",Table1[[#This Row],[Age]]&gt;=45,"Old")</f>
        <v>Adult</v>
      </c>
    </row>
    <row r="158" spans="1:15" x14ac:dyDescent="0.25">
      <c r="A158" s="1">
        <v>17322</v>
      </c>
      <c r="B158" s="1" t="s">
        <v>162</v>
      </c>
      <c r="C158" s="1" t="s">
        <v>292</v>
      </c>
      <c r="D158" s="1">
        <v>63</v>
      </c>
      <c r="E158" s="1">
        <v>45</v>
      </c>
      <c r="F158" s="1" t="s">
        <v>953</v>
      </c>
      <c r="G158" s="1" t="s">
        <v>45</v>
      </c>
      <c r="H158" s="1" t="s">
        <v>36</v>
      </c>
      <c r="I158" s="1" t="s">
        <v>51</v>
      </c>
      <c r="J158" s="1">
        <v>24</v>
      </c>
      <c r="K158" s="1" t="s">
        <v>42</v>
      </c>
      <c r="L158" s="3">
        <v>73440</v>
      </c>
      <c r="M158" s="3">
        <v>44064</v>
      </c>
      <c r="N158" s="1" t="s">
        <v>20</v>
      </c>
      <c r="O158" s="5" t="str" cm="1">
        <f t="array" ref="O158">_xlfn.IFS(Table1[[#This Row],[Age]]&lt;25,"Young",Table1[[#This Row],[Age]]&lt;45,"Adult",Table1[[#This Row],[Age]]&gt;=45,"Old")</f>
        <v>Old</v>
      </c>
    </row>
    <row r="159" spans="1:15" x14ac:dyDescent="0.25">
      <c r="A159" s="1">
        <v>4173</v>
      </c>
      <c r="B159" s="1" t="s">
        <v>293</v>
      </c>
      <c r="C159" s="1" t="s">
        <v>188</v>
      </c>
      <c r="D159" s="1">
        <v>40</v>
      </c>
      <c r="E159" s="1">
        <v>14</v>
      </c>
      <c r="F159" s="1" t="s">
        <v>954</v>
      </c>
      <c r="G159" s="1" t="s">
        <v>16</v>
      </c>
      <c r="H159" s="1" t="s">
        <v>17</v>
      </c>
      <c r="I159" s="1" t="s">
        <v>51</v>
      </c>
      <c r="J159" s="1">
        <v>40</v>
      </c>
      <c r="K159" s="1" t="s">
        <v>52</v>
      </c>
      <c r="L159" s="3">
        <v>130000</v>
      </c>
      <c r="M159" s="3">
        <v>130000</v>
      </c>
      <c r="N159" s="1" t="s">
        <v>20</v>
      </c>
      <c r="O159" s="5" t="str" cm="1">
        <f t="array" ref="O159">_xlfn.IFS(Table1[[#This Row],[Age]]&lt;25,"Young",Table1[[#This Row],[Age]]&lt;45,"Adult",Table1[[#This Row],[Age]]&gt;=45,"Old")</f>
        <v>Adult</v>
      </c>
    </row>
    <row r="160" spans="1:15" x14ac:dyDescent="0.25">
      <c r="A160" s="1">
        <v>21176</v>
      </c>
      <c r="B160" s="1" t="s">
        <v>106</v>
      </c>
      <c r="C160" s="1" t="s">
        <v>246</v>
      </c>
      <c r="D160" s="1">
        <v>48</v>
      </c>
      <c r="E160" s="1">
        <v>29</v>
      </c>
      <c r="F160" s="1" t="s">
        <v>953</v>
      </c>
      <c r="G160" s="1" t="s">
        <v>35</v>
      </c>
      <c r="H160" s="1" t="s">
        <v>17</v>
      </c>
      <c r="I160" s="1" t="s">
        <v>51</v>
      </c>
      <c r="J160" s="1">
        <v>32</v>
      </c>
      <c r="K160" s="1" t="s">
        <v>25</v>
      </c>
      <c r="L160" s="3">
        <v>105840</v>
      </c>
      <c r="M160" s="3">
        <v>84672</v>
      </c>
      <c r="N160" s="1" t="s">
        <v>29</v>
      </c>
      <c r="O160" s="5" t="str" cm="1">
        <f t="array" ref="O160">_xlfn.IFS(Table1[[#This Row],[Age]]&lt;25,"Young",Table1[[#This Row],[Age]]&lt;45,"Adult",Table1[[#This Row],[Age]]&gt;=45,"Old")</f>
        <v>Old</v>
      </c>
    </row>
    <row r="161" spans="1:15" x14ac:dyDescent="0.25">
      <c r="A161" s="1">
        <v>10466</v>
      </c>
      <c r="B161" s="1" t="s">
        <v>33</v>
      </c>
      <c r="C161" s="1" t="s">
        <v>294</v>
      </c>
      <c r="D161" s="1">
        <v>59</v>
      </c>
      <c r="E161" s="1">
        <v>9</v>
      </c>
      <c r="F161" s="1" t="s">
        <v>954</v>
      </c>
      <c r="G161" s="1" t="s">
        <v>50</v>
      </c>
      <c r="H161" s="1" t="s">
        <v>36</v>
      </c>
      <c r="I161" s="1" t="s">
        <v>18</v>
      </c>
      <c r="J161" s="1">
        <v>20</v>
      </c>
      <c r="K161" s="1" t="s">
        <v>37</v>
      </c>
      <c r="L161" s="3">
        <v>85000</v>
      </c>
      <c r="M161" s="3">
        <v>42500</v>
      </c>
      <c r="N161" s="1" t="s">
        <v>20</v>
      </c>
      <c r="O161" s="5" t="str" cm="1">
        <f t="array" ref="O161">_xlfn.IFS(Table1[[#This Row],[Age]]&lt;25,"Young",Table1[[#This Row],[Age]]&lt;45,"Adult",Table1[[#This Row],[Age]]&gt;=45,"Old")</f>
        <v>Old</v>
      </c>
    </row>
    <row r="162" spans="1:15" x14ac:dyDescent="0.25">
      <c r="A162" s="1">
        <v>21624</v>
      </c>
      <c r="B162" s="1" t="s">
        <v>91</v>
      </c>
      <c r="C162" s="1" t="s">
        <v>39</v>
      </c>
      <c r="D162" s="1">
        <v>29</v>
      </c>
      <c r="E162" s="1">
        <v>6</v>
      </c>
      <c r="F162" s="1" t="s">
        <v>954</v>
      </c>
      <c r="G162" s="1" t="s">
        <v>35</v>
      </c>
      <c r="H162" s="1" t="s">
        <v>32</v>
      </c>
      <c r="I162" s="1" t="s">
        <v>18</v>
      </c>
      <c r="J162" s="1">
        <v>40</v>
      </c>
      <c r="K162" s="1" t="s">
        <v>37</v>
      </c>
      <c r="L162" s="3">
        <v>89630</v>
      </c>
      <c r="M162" s="3">
        <v>89630</v>
      </c>
      <c r="N162" s="1" t="s">
        <v>29</v>
      </c>
      <c r="O162" s="5" t="str" cm="1">
        <f t="array" ref="O162">_xlfn.IFS(Table1[[#This Row],[Age]]&lt;25,"Young",Table1[[#This Row],[Age]]&lt;45,"Adult",Table1[[#This Row],[Age]]&gt;=45,"Old")</f>
        <v>Adult</v>
      </c>
    </row>
    <row r="163" spans="1:15" x14ac:dyDescent="0.25">
      <c r="A163" s="1">
        <v>20641</v>
      </c>
      <c r="B163" s="1" t="s">
        <v>295</v>
      </c>
      <c r="C163" s="1" t="s">
        <v>296</v>
      </c>
      <c r="D163" s="1">
        <v>46</v>
      </c>
      <c r="E163" s="1">
        <v>11</v>
      </c>
      <c r="F163" s="1" t="s">
        <v>953</v>
      </c>
      <c r="G163" s="1" t="s">
        <v>23</v>
      </c>
      <c r="H163" s="1" t="s">
        <v>32</v>
      </c>
      <c r="I163" s="1" t="s">
        <v>18</v>
      </c>
      <c r="J163" s="1">
        <v>40</v>
      </c>
      <c r="K163" s="1" t="s">
        <v>25</v>
      </c>
      <c r="L163" s="3">
        <v>119349</v>
      </c>
      <c r="M163" s="3">
        <v>119349</v>
      </c>
      <c r="N163" s="1" t="s">
        <v>26</v>
      </c>
      <c r="O163" s="5" t="str" cm="1">
        <f t="array" ref="O163">_xlfn.IFS(Table1[[#This Row],[Age]]&lt;25,"Young",Table1[[#This Row],[Age]]&lt;45,"Adult",Table1[[#This Row],[Age]]&gt;=45,"Old")</f>
        <v>Old</v>
      </c>
    </row>
    <row r="164" spans="1:15" x14ac:dyDescent="0.25">
      <c r="A164" s="1">
        <v>7204</v>
      </c>
      <c r="B164" s="1" t="s">
        <v>112</v>
      </c>
      <c r="C164" s="1" t="s">
        <v>297</v>
      </c>
      <c r="D164" s="1">
        <v>43</v>
      </c>
      <c r="E164" s="1">
        <v>10</v>
      </c>
      <c r="F164" s="1" t="s">
        <v>953</v>
      </c>
      <c r="G164" s="1" t="s">
        <v>35</v>
      </c>
      <c r="H164" s="1" t="s">
        <v>24</v>
      </c>
      <c r="I164" s="1" t="s">
        <v>18</v>
      </c>
      <c r="J164" s="1">
        <v>40</v>
      </c>
      <c r="K164" s="1" t="s">
        <v>25</v>
      </c>
      <c r="L164" s="3">
        <v>122000</v>
      </c>
      <c r="M164" s="3">
        <v>122000</v>
      </c>
      <c r="N164" s="1" t="s">
        <v>26</v>
      </c>
      <c r="O164" s="5" t="str" cm="1">
        <f t="array" ref="O164">_xlfn.IFS(Table1[[#This Row],[Age]]&lt;25,"Young",Table1[[#This Row],[Age]]&lt;45,"Adult",Table1[[#This Row],[Age]]&gt;=45,"Old")</f>
        <v>Adult</v>
      </c>
    </row>
    <row r="165" spans="1:15" x14ac:dyDescent="0.25">
      <c r="A165" s="1">
        <v>12939</v>
      </c>
      <c r="B165" s="1" t="s">
        <v>298</v>
      </c>
      <c r="C165" s="1" t="s">
        <v>90</v>
      </c>
      <c r="D165" s="1">
        <v>57</v>
      </c>
      <c r="E165" s="1">
        <v>18</v>
      </c>
      <c r="F165" s="1" t="s">
        <v>953</v>
      </c>
      <c r="G165" s="1" t="s">
        <v>45</v>
      </c>
      <c r="H165" s="1" t="s">
        <v>36</v>
      </c>
      <c r="I165" s="1" t="s">
        <v>18</v>
      </c>
      <c r="J165" s="1">
        <v>20</v>
      </c>
      <c r="K165" s="1" t="s">
        <v>42</v>
      </c>
      <c r="L165" s="3">
        <v>75408</v>
      </c>
      <c r="M165" s="3">
        <v>37704</v>
      </c>
      <c r="N165" s="1" t="s">
        <v>29</v>
      </c>
      <c r="O165" s="5" t="str" cm="1">
        <f t="array" ref="O165">_xlfn.IFS(Table1[[#This Row],[Age]]&lt;25,"Young",Table1[[#This Row],[Age]]&lt;45,"Adult",Table1[[#This Row],[Age]]&gt;=45,"Old")</f>
        <v>Old</v>
      </c>
    </row>
    <row r="166" spans="1:15" x14ac:dyDescent="0.25">
      <c r="A166" s="1">
        <v>5980</v>
      </c>
      <c r="B166" s="1" t="s">
        <v>98</v>
      </c>
      <c r="C166" s="1" t="s">
        <v>299</v>
      </c>
      <c r="D166" s="1">
        <v>52</v>
      </c>
      <c r="E166" s="1">
        <v>14</v>
      </c>
      <c r="F166" s="1" t="s">
        <v>953</v>
      </c>
      <c r="G166" s="1" t="s">
        <v>50</v>
      </c>
      <c r="H166" s="1" t="s">
        <v>32</v>
      </c>
      <c r="I166" s="1" t="s">
        <v>18</v>
      </c>
      <c r="J166" s="1">
        <v>32</v>
      </c>
      <c r="K166" s="1" t="s">
        <v>37</v>
      </c>
      <c r="L166" s="3">
        <v>91800</v>
      </c>
      <c r="M166" s="3">
        <v>73440</v>
      </c>
      <c r="N166" s="1" t="s">
        <v>20</v>
      </c>
      <c r="O166" s="5" t="str" cm="1">
        <f t="array" ref="O166">_xlfn.IFS(Table1[[#This Row],[Age]]&lt;25,"Young",Table1[[#This Row],[Age]]&lt;45,"Adult",Table1[[#This Row],[Age]]&gt;=45,"Old")</f>
        <v>Old</v>
      </c>
    </row>
    <row r="167" spans="1:15" x14ac:dyDescent="0.25">
      <c r="A167" s="1">
        <v>18361</v>
      </c>
      <c r="B167" s="1" t="s">
        <v>144</v>
      </c>
      <c r="C167" s="1" t="s">
        <v>300</v>
      </c>
      <c r="D167" s="1">
        <v>43</v>
      </c>
      <c r="E167" s="1">
        <v>20</v>
      </c>
      <c r="F167" s="1" t="s">
        <v>954</v>
      </c>
      <c r="G167" s="1" t="s">
        <v>16</v>
      </c>
      <c r="H167" s="1" t="s">
        <v>36</v>
      </c>
      <c r="I167" s="1" t="s">
        <v>18</v>
      </c>
      <c r="J167" s="1">
        <v>32</v>
      </c>
      <c r="K167" s="1" t="s">
        <v>42</v>
      </c>
      <c r="L167" s="3">
        <v>68000</v>
      </c>
      <c r="M167" s="3">
        <v>54400</v>
      </c>
      <c r="N167" s="1" t="s">
        <v>29</v>
      </c>
      <c r="O167" s="5" t="str" cm="1">
        <f t="array" ref="O167">_xlfn.IFS(Table1[[#This Row],[Age]]&lt;25,"Young",Table1[[#This Row],[Age]]&lt;45,"Adult",Table1[[#This Row],[Age]]&gt;=45,"Old")</f>
        <v>Adult</v>
      </c>
    </row>
    <row r="168" spans="1:15" x14ac:dyDescent="0.25">
      <c r="A168" s="1">
        <v>18065</v>
      </c>
      <c r="B168" s="1" t="s">
        <v>301</v>
      </c>
      <c r="C168" s="1" t="s">
        <v>302</v>
      </c>
      <c r="D168" s="1">
        <v>45</v>
      </c>
      <c r="E168" s="1">
        <v>13</v>
      </c>
      <c r="F168" s="1" t="s">
        <v>954</v>
      </c>
      <c r="G168" s="1" t="s">
        <v>16</v>
      </c>
      <c r="H168" s="1" t="s">
        <v>17</v>
      </c>
      <c r="I168" s="1" t="s">
        <v>18</v>
      </c>
      <c r="J168" s="1">
        <v>20</v>
      </c>
      <c r="K168" s="1" t="s">
        <v>25</v>
      </c>
      <c r="L168" s="3">
        <v>98000</v>
      </c>
      <c r="M168" s="3">
        <v>49000</v>
      </c>
      <c r="N168" s="1" t="s">
        <v>20</v>
      </c>
      <c r="O168" s="5" t="str" cm="1">
        <f t="array" ref="O168">_xlfn.IFS(Table1[[#This Row],[Age]]&lt;25,"Young",Table1[[#This Row],[Age]]&lt;45,"Adult",Table1[[#This Row],[Age]]&gt;=45,"Old")</f>
        <v>Old</v>
      </c>
    </row>
    <row r="169" spans="1:15" x14ac:dyDescent="0.25">
      <c r="A169" s="1">
        <v>705</v>
      </c>
      <c r="B169" s="1" t="s">
        <v>303</v>
      </c>
      <c r="C169" s="1" t="s">
        <v>304</v>
      </c>
      <c r="D169" s="1">
        <v>64</v>
      </c>
      <c r="E169" s="1">
        <v>43</v>
      </c>
      <c r="F169" s="1" t="s">
        <v>954</v>
      </c>
      <c r="G169" s="1" t="s">
        <v>45</v>
      </c>
      <c r="H169" s="1" t="s">
        <v>32</v>
      </c>
      <c r="I169" s="1" t="s">
        <v>18</v>
      </c>
      <c r="J169" s="1">
        <v>32</v>
      </c>
      <c r="K169" s="1" t="s">
        <v>37</v>
      </c>
      <c r="L169" s="3">
        <v>85000</v>
      </c>
      <c r="M169" s="3">
        <v>68000</v>
      </c>
      <c r="N169" s="1" t="s">
        <v>20</v>
      </c>
      <c r="O169" s="5" t="str" cm="1">
        <f t="array" ref="O169">_xlfn.IFS(Table1[[#This Row],[Age]]&lt;25,"Young",Table1[[#This Row],[Age]]&lt;45,"Adult",Table1[[#This Row],[Age]]&gt;=45,"Old")</f>
        <v>Old</v>
      </c>
    </row>
    <row r="170" spans="1:15" x14ac:dyDescent="0.25">
      <c r="A170" s="1">
        <v>20313</v>
      </c>
      <c r="B170" s="1" t="s">
        <v>305</v>
      </c>
      <c r="C170" s="1" t="s">
        <v>306</v>
      </c>
      <c r="D170" s="1">
        <v>53</v>
      </c>
      <c r="E170" s="1">
        <v>8</v>
      </c>
      <c r="F170" s="1" t="s">
        <v>954</v>
      </c>
      <c r="G170" s="1" t="s">
        <v>16</v>
      </c>
      <c r="H170" s="1" t="s">
        <v>119</v>
      </c>
      <c r="I170" s="1" t="s">
        <v>51</v>
      </c>
      <c r="J170" s="1">
        <v>24</v>
      </c>
      <c r="K170" s="1" t="s">
        <v>19</v>
      </c>
      <c r="L170" s="3">
        <v>115000</v>
      </c>
      <c r="M170" s="3">
        <v>69000</v>
      </c>
      <c r="N170" s="1" t="s">
        <v>20</v>
      </c>
      <c r="O170" s="5" t="str" cm="1">
        <f t="array" ref="O170">_xlfn.IFS(Table1[[#This Row],[Age]]&lt;25,"Young",Table1[[#This Row],[Age]]&lt;45,"Adult",Table1[[#This Row],[Age]]&gt;=45,"Old")</f>
        <v>Old</v>
      </c>
    </row>
    <row r="171" spans="1:15" x14ac:dyDescent="0.25">
      <c r="A171" s="1">
        <v>11308</v>
      </c>
      <c r="B171" s="1" t="s">
        <v>307</v>
      </c>
      <c r="C171" s="1" t="s">
        <v>282</v>
      </c>
      <c r="D171" s="1">
        <v>46</v>
      </c>
      <c r="E171" s="1">
        <v>24</v>
      </c>
      <c r="F171" s="1" t="s">
        <v>954</v>
      </c>
      <c r="G171" s="1" t="s">
        <v>45</v>
      </c>
      <c r="H171" s="1" t="s">
        <v>36</v>
      </c>
      <c r="I171" s="1" t="s">
        <v>51</v>
      </c>
      <c r="J171" s="1">
        <v>8</v>
      </c>
      <c r="K171" s="1" t="s">
        <v>42</v>
      </c>
      <c r="L171" s="3">
        <v>68000</v>
      </c>
      <c r="M171" s="3">
        <v>13600</v>
      </c>
      <c r="N171" s="1" t="s">
        <v>20</v>
      </c>
      <c r="O171" s="5" t="str" cm="1">
        <f t="array" ref="O171">_xlfn.IFS(Table1[[#This Row],[Age]]&lt;25,"Young",Table1[[#This Row],[Age]]&lt;45,"Adult",Table1[[#This Row],[Age]]&gt;=45,"Old")</f>
        <v>Old</v>
      </c>
    </row>
    <row r="172" spans="1:15" x14ac:dyDescent="0.25">
      <c r="A172" s="1">
        <v>16697</v>
      </c>
      <c r="B172" s="1" t="s">
        <v>308</v>
      </c>
      <c r="C172" s="1" t="s">
        <v>309</v>
      </c>
      <c r="D172" s="1">
        <v>29</v>
      </c>
      <c r="E172" s="1">
        <v>1</v>
      </c>
      <c r="F172" s="1" t="s">
        <v>953</v>
      </c>
      <c r="G172" s="1" t="s">
        <v>45</v>
      </c>
      <c r="H172" s="1" t="s">
        <v>32</v>
      </c>
      <c r="I172" s="1" t="s">
        <v>18</v>
      </c>
      <c r="J172" s="1">
        <v>40</v>
      </c>
      <c r="K172" s="1" t="s">
        <v>37</v>
      </c>
      <c r="L172" s="3">
        <v>100951</v>
      </c>
      <c r="M172" s="3">
        <v>100951</v>
      </c>
      <c r="N172" s="1" t="s">
        <v>26</v>
      </c>
      <c r="O172" s="5" t="str" cm="1">
        <f t="array" ref="O172">_xlfn.IFS(Table1[[#This Row],[Age]]&lt;25,"Young",Table1[[#This Row],[Age]]&lt;45,"Adult",Table1[[#This Row],[Age]]&gt;=45,"Old")</f>
        <v>Adult</v>
      </c>
    </row>
    <row r="173" spans="1:15" x14ac:dyDescent="0.25">
      <c r="A173" s="1">
        <v>1325</v>
      </c>
      <c r="B173" s="1" t="s">
        <v>310</v>
      </c>
      <c r="C173" s="1" t="s">
        <v>311</v>
      </c>
      <c r="D173" s="1">
        <v>46</v>
      </c>
      <c r="E173" s="1">
        <v>18</v>
      </c>
      <c r="F173" s="1" t="s">
        <v>953</v>
      </c>
      <c r="G173" s="1" t="s">
        <v>16</v>
      </c>
      <c r="H173" s="1" t="s">
        <v>32</v>
      </c>
      <c r="I173" s="1" t="s">
        <v>18</v>
      </c>
      <c r="J173" s="1">
        <v>40</v>
      </c>
      <c r="K173" s="1" t="s">
        <v>25</v>
      </c>
      <c r="L173" s="3">
        <v>122000</v>
      </c>
      <c r="M173" s="3">
        <v>122000</v>
      </c>
      <c r="N173" s="1" t="s">
        <v>26</v>
      </c>
      <c r="O173" s="5" t="str" cm="1">
        <f t="array" ref="O173">_xlfn.IFS(Table1[[#This Row],[Age]]&lt;25,"Young",Table1[[#This Row],[Age]]&lt;45,"Adult",Table1[[#This Row],[Age]]&gt;=45,"Old")</f>
        <v>Old</v>
      </c>
    </row>
    <row r="174" spans="1:15" x14ac:dyDescent="0.25">
      <c r="A174" s="1">
        <v>4352</v>
      </c>
      <c r="B174" s="1" t="s">
        <v>312</v>
      </c>
      <c r="C174" s="1" t="s">
        <v>313</v>
      </c>
      <c r="D174" s="1">
        <v>59</v>
      </c>
      <c r="E174" s="1">
        <v>2</v>
      </c>
      <c r="F174" s="1" t="s">
        <v>953</v>
      </c>
      <c r="G174" s="1" t="s">
        <v>50</v>
      </c>
      <c r="H174" s="1" t="s">
        <v>32</v>
      </c>
      <c r="I174" s="1" t="s">
        <v>18</v>
      </c>
      <c r="J174" s="1">
        <v>40</v>
      </c>
      <c r="K174" s="1" t="s">
        <v>37</v>
      </c>
      <c r="L174" s="3">
        <v>92665</v>
      </c>
      <c r="M174" s="3">
        <v>92665</v>
      </c>
      <c r="N174" s="1" t="s">
        <v>29</v>
      </c>
      <c r="O174" s="5" t="str" cm="1">
        <f t="array" ref="O174">_xlfn.IFS(Table1[[#This Row],[Age]]&lt;25,"Young",Table1[[#This Row],[Age]]&lt;45,"Adult",Table1[[#This Row],[Age]]&gt;=45,"Old")</f>
        <v>Old</v>
      </c>
    </row>
    <row r="175" spans="1:15" x14ac:dyDescent="0.25">
      <c r="A175" s="1">
        <v>12581</v>
      </c>
      <c r="B175" s="1" t="s">
        <v>314</v>
      </c>
      <c r="C175" s="1" t="s">
        <v>83</v>
      </c>
      <c r="D175" s="1">
        <v>60</v>
      </c>
      <c r="E175" s="1">
        <v>35</v>
      </c>
      <c r="F175" s="1" t="s">
        <v>954</v>
      </c>
      <c r="G175" s="1" t="s">
        <v>45</v>
      </c>
      <c r="H175" s="1" t="s">
        <v>17</v>
      </c>
      <c r="I175" s="1" t="s">
        <v>51</v>
      </c>
      <c r="J175" s="1">
        <v>24</v>
      </c>
      <c r="K175" s="1" t="s">
        <v>19</v>
      </c>
      <c r="L175" s="3">
        <v>115000</v>
      </c>
      <c r="M175" s="3">
        <v>69000</v>
      </c>
      <c r="N175" s="1" t="s">
        <v>20</v>
      </c>
      <c r="O175" s="5" t="str" cm="1">
        <f t="array" ref="O175">_xlfn.IFS(Table1[[#This Row],[Age]]&lt;25,"Young",Table1[[#This Row],[Age]]&lt;45,"Adult",Table1[[#This Row],[Age]]&gt;=45,"Old")</f>
        <v>Old</v>
      </c>
    </row>
    <row r="176" spans="1:15" x14ac:dyDescent="0.25">
      <c r="A176" s="1">
        <v>10763</v>
      </c>
      <c r="B176" s="1" t="s">
        <v>315</v>
      </c>
      <c r="C176" s="1" t="s">
        <v>138</v>
      </c>
      <c r="D176" s="1">
        <v>55</v>
      </c>
      <c r="E176" s="1">
        <v>17</v>
      </c>
      <c r="F176" s="1" t="s">
        <v>954</v>
      </c>
      <c r="G176" s="1" t="s">
        <v>35</v>
      </c>
      <c r="H176" s="1" t="s">
        <v>32</v>
      </c>
      <c r="I176" s="1" t="s">
        <v>18</v>
      </c>
      <c r="J176" s="1">
        <v>20</v>
      </c>
      <c r="K176" s="1" t="s">
        <v>42</v>
      </c>
      <c r="L176" s="3">
        <v>68000</v>
      </c>
      <c r="M176" s="3">
        <v>34000</v>
      </c>
      <c r="N176" s="1" t="s">
        <v>20</v>
      </c>
      <c r="O176" s="5" t="str" cm="1">
        <f t="array" ref="O176">_xlfn.IFS(Table1[[#This Row],[Age]]&lt;25,"Young",Table1[[#This Row],[Age]]&lt;45,"Adult",Table1[[#This Row],[Age]]&gt;=45,"Old")</f>
        <v>Old</v>
      </c>
    </row>
    <row r="177" spans="1:15" x14ac:dyDescent="0.25">
      <c r="A177" s="1">
        <v>8533</v>
      </c>
      <c r="B177" s="1" t="s">
        <v>316</v>
      </c>
      <c r="C177" s="1" t="s">
        <v>317</v>
      </c>
      <c r="D177" s="1">
        <v>58</v>
      </c>
      <c r="E177" s="1">
        <v>7</v>
      </c>
      <c r="F177" s="1" t="s">
        <v>954</v>
      </c>
      <c r="G177" s="1" t="s">
        <v>45</v>
      </c>
      <c r="H177" s="1" t="s">
        <v>24</v>
      </c>
      <c r="I177" s="1" t="s">
        <v>18</v>
      </c>
      <c r="J177" s="1">
        <v>40</v>
      </c>
      <c r="K177" s="1" t="s">
        <v>37</v>
      </c>
      <c r="L177" s="3">
        <v>88745</v>
      </c>
      <c r="M177" s="3">
        <v>88745</v>
      </c>
      <c r="N177" s="1" t="s">
        <v>29</v>
      </c>
      <c r="O177" s="5" t="str" cm="1">
        <f t="array" ref="O177">_xlfn.IFS(Table1[[#This Row],[Age]]&lt;25,"Young",Table1[[#This Row],[Age]]&lt;45,"Adult",Table1[[#This Row],[Age]]&gt;=45,"Old")</f>
        <v>Old</v>
      </c>
    </row>
    <row r="178" spans="1:15" x14ac:dyDescent="0.25">
      <c r="A178" s="1">
        <v>2585</v>
      </c>
      <c r="B178" s="1" t="s">
        <v>318</v>
      </c>
      <c r="C178" s="1" t="s">
        <v>319</v>
      </c>
      <c r="D178" s="1">
        <v>29</v>
      </c>
      <c r="E178" s="1">
        <v>10</v>
      </c>
      <c r="F178" s="1" t="s">
        <v>953</v>
      </c>
      <c r="G178" s="1" t="s">
        <v>45</v>
      </c>
      <c r="H178" s="1" t="s">
        <v>192</v>
      </c>
      <c r="I178" s="1" t="s">
        <v>18</v>
      </c>
      <c r="J178" s="1">
        <v>24</v>
      </c>
      <c r="K178" s="1" t="s">
        <v>25</v>
      </c>
      <c r="L178" s="3">
        <v>105840</v>
      </c>
      <c r="M178" s="3">
        <v>63504</v>
      </c>
      <c r="N178" s="1" t="s">
        <v>29</v>
      </c>
      <c r="O178" s="5" t="str" cm="1">
        <f t="array" ref="O178">_xlfn.IFS(Table1[[#This Row],[Age]]&lt;25,"Young",Table1[[#This Row],[Age]]&lt;45,"Adult",Table1[[#This Row],[Age]]&gt;=45,"Old")</f>
        <v>Adult</v>
      </c>
    </row>
    <row r="179" spans="1:15" x14ac:dyDescent="0.25">
      <c r="A179" s="1">
        <v>8579</v>
      </c>
      <c r="B179" s="1" t="s">
        <v>320</v>
      </c>
      <c r="C179" s="1" t="s">
        <v>321</v>
      </c>
      <c r="D179" s="1">
        <v>31</v>
      </c>
      <c r="E179" s="1">
        <v>1</v>
      </c>
      <c r="F179" s="1" t="s">
        <v>953</v>
      </c>
      <c r="G179" s="1" t="s">
        <v>45</v>
      </c>
      <c r="H179" s="1" t="s">
        <v>64</v>
      </c>
      <c r="I179" s="1" t="s">
        <v>18</v>
      </c>
      <c r="J179" s="1">
        <v>32</v>
      </c>
      <c r="K179" s="1" t="s">
        <v>19</v>
      </c>
      <c r="L179" s="3">
        <v>127218</v>
      </c>
      <c r="M179" s="3">
        <v>101774.39999999999</v>
      </c>
      <c r="N179" s="1" t="s">
        <v>20</v>
      </c>
      <c r="O179" s="5" t="str" cm="1">
        <f t="array" ref="O179">_xlfn.IFS(Table1[[#This Row],[Age]]&lt;25,"Young",Table1[[#This Row],[Age]]&lt;45,"Adult",Table1[[#This Row],[Age]]&gt;=45,"Old")</f>
        <v>Adult</v>
      </c>
    </row>
    <row r="180" spans="1:15" x14ac:dyDescent="0.25">
      <c r="A180" s="1">
        <v>19278</v>
      </c>
      <c r="B180" s="1" t="s">
        <v>322</v>
      </c>
      <c r="C180" s="1" t="s">
        <v>323</v>
      </c>
      <c r="D180" s="1">
        <v>34</v>
      </c>
      <c r="E180" s="1">
        <v>15</v>
      </c>
      <c r="F180" s="1" t="s">
        <v>953</v>
      </c>
      <c r="G180" s="1" t="s">
        <v>45</v>
      </c>
      <c r="H180" s="1" t="s">
        <v>32</v>
      </c>
      <c r="I180" s="1" t="s">
        <v>18</v>
      </c>
      <c r="J180" s="1">
        <v>40</v>
      </c>
      <c r="K180" s="1" t="s">
        <v>37</v>
      </c>
      <c r="L180" s="3">
        <v>101260</v>
      </c>
      <c r="M180" s="3">
        <v>101260</v>
      </c>
      <c r="N180" s="1" t="s">
        <v>26</v>
      </c>
      <c r="O180" s="5" t="str" cm="1">
        <f t="array" ref="O180">_xlfn.IFS(Table1[[#This Row],[Age]]&lt;25,"Young",Table1[[#This Row],[Age]]&lt;45,"Adult",Table1[[#This Row],[Age]]&gt;=45,"Old")</f>
        <v>Adult</v>
      </c>
    </row>
    <row r="181" spans="1:15" x14ac:dyDescent="0.25">
      <c r="A181" s="1">
        <v>3267</v>
      </c>
      <c r="B181" s="1" t="s">
        <v>106</v>
      </c>
      <c r="C181" s="1" t="s">
        <v>324</v>
      </c>
      <c r="D181" s="1">
        <v>59</v>
      </c>
      <c r="E181" s="1">
        <v>22</v>
      </c>
      <c r="F181" s="1" t="s">
        <v>953</v>
      </c>
      <c r="G181" s="1" t="s">
        <v>35</v>
      </c>
      <c r="H181" s="1" t="s">
        <v>36</v>
      </c>
      <c r="I181" s="1" t="s">
        <v>18</v>
      </c>
      <c r="J181" s="1">
        <v>32</v>
      </c>
      <c r="K181" s="1" t="s">
        <v>42</v>
      </c>
      <c r="L181" s="3">
        <v>73440</v>
      </c>
      <c r="M181" s="3">
        <v>58752</v>
      </c>
      <c r="N181" s="1" t="s">
        <v>20</v>
      </c>
      <c r="O181" s="5" t="str" cm="1">
        <f t="array" ref="O181">_xlfn.IFS(Table1[[#This Row],[Age]]&lt;25,"Young",Table1[[#This Row],[Age]]&lt;45,"Adult",Table1[[#This Row],[Age]]&gt;=45,"Old")</f>
        <v>Old</v>
      </c>
    </row>
    <row r="182" spans="1:15" x14ac:dyDescent="0.25">
      <c r="A182" s="1">
        <v>3493</v>
      </c>
      <c r="B182" s="1" t="s">
        <v>325</v>
      </c>
      <c r="C182" s="1" t="s">
        <v>326</v>
      </c>
      <c r="D182" s="1">
        <v>38</v>
      </c>
      <c r="E182" s="1">
        <v>13</v>
      </c>
      <c r="F182" s="1" t="s">
        <v>954</v>
      </c>
      <c r="G182" s="1" t="s">
        <v>16</v>
      </c>
      <c r="H182" s="1" t="s">
        <v>17</v>
      </c>
      <c r="I182" s="1" t="s">
        <v>51</v>
      </c>
      <c r="J182" s="1">
        <v>40</v>
      </c>
      <c r="K182" s="1" t="s">
        <v>37</v>
      </c>
      <c r="L182" s="3">
        <v>85000</v>
      </c>
      <c r="M182" s="3">
        <v>85000</v>
      </c>
      <c r="N182" s="1" t="s">
        <v>20</v>
      </c>
      <c r="O182" s="5" t="str" cm="1">
        <f t="array" ref="O182">_xlfn.IFS(Table1[[#This Row],[Age]]&lt;25,"Young",Table1[[#This Row],[Age]]&lt;45,"Adult",Table1[[#This Row],[Age]]&gt;=45,"Old")</f>
        <v>Adult</v>
      </c>
    </row>
    <row r="183" spans="1:15" x14ac:dyDescent="0.25">
      <c r="A183" s="1">
        <v>16611</v>
      </c>
      <c r="B183" s="1" t="s">
        <v>327</v>
      </c>
      <c r="C183" s="1" t="s">
        <v>328</v>
      </c>
      <c r="D183" s="1">
        <v>35</v>
      </c>
      <c r="E183" s="1">
        <v>16</v>
      </c>
      <c r="F183" s="1" t="s">
        <v>953</v>
      </c>
      <c r="G183" s="1" t="s">
        <v>23</v>
      </c>
      <c r="H183" s="1" t="s">
        <v>24</v>
      </c>
      <c r="I183" s="1" t="s">
        <v>18</v>
      </c>
      <c r="J183" s="1">
        <v>20</v>
      </c>
      <c r="K183" s="1" t="s">
        <v>25</v>
      </c>
      <c r="L183" s="3">
        <v>113606</v>
      </c>
      <c r="M183" s="3">
        <v>56803</v>
      </c>
      <c r="N183" s="1" t="s">
        <v>26</v>
      </c>
      <c r="O183" s="5" t="str" cm="1">
        <f t="array" ref="O183">_xlfn.IFS(Table1[[#This Row],[Age]]&lt;25,"Young",Table1[[#This Row],[Age]]&lt;45,"Adult",Table1[[#This Row],[Age]]&gt;=45,"Old")</f>
        <v>Adult</v>
      </c>
    </row>
    <row r="184" spans="1:15" x14ac:dyDescent="0.25">
      <c r="A184" s="1">
        <v>2954</v>
      </c>
      <c r="B184" s="1" t="s">
        <v>329</v>
      </c>
      <c r="C184" s="1" t="s">
        <v>330</v>
      </c>
      <c r="D184" s="1">
        <v>31</v>
      </c>
      <c r="E184" s="1">
        <v>8</v>
      </c>
      <c r="F184" s="1" t="s">
        <v>954</v>
      </c>
      <c r="G184" s="1" t="s">
        <v>16</v>
      </c>
      <c r="H184" s="1" t="s">
        <v>32</v>
      </c>
      <c r="I184" s="1" t="s">
        <v>18</v>
      </c>
      <c r="J184" s="1">
        <v>40</v>
      </c>
      <c r="K184" s="1" t="s">
        <v>37</v>
      </c>
      <c r="L184" s="3">
        <v>85000</v>
      </c>
      <c r="M184" s="3">
        <v>85000</v>
      </c>
      <c r="N184" s="1" t="s">
        <v>29</v>
      </c>
      <c r="O184" s="5" t="str" cm="1">
        <f t="array" ref="O184">_xlfn.IFS(Table1[[#This Row],[Age]]&lt;25,"Young",Table1[[#This Row],[Age]]&lt;45,"Adult",Table1[[#This Row],[Age]]&gt;=45,"Old")</f>
        <v>Adult</v>
      </c>
    </row>
    <row r="185" spans="1:15" x14ac:dyDescent="0.25">
      <c r="A185" s="1">
        <v>18142</v>
      </c>
      <c r="B185" s="1" t="s">
        <v>331</v>
      </c>
      <c r="C185" s="1" t="s">
        <v>332</v>
      </c>
      <c r="D185" s="1">
        <v>43</v>
      </c>
      <c r="E185" s="1">
        <v>12</v>
      </c>
      <c r="F185" s="1" t="s">
        <v>954</v>
      </c>
      <c r="G185" s="1" t="s">
        <v>45</v>
      </c>
      <c r="H185" s="1" t="s">
        <v>36</v>
      </c>
      <c r="I185" s="1" t="s">
        <v>18</v>
      </c>
      <c r="J185" s="1">
        <v>32</v>
      </c>
      <c r="K185" s="1" t="s">
        <v>37</v>
      </c>
      <c r="L185" s="3">
        <v>85000</v>
      </c>
      <c r="M185" s="3">
        <v>68000</v>
      </c>
      <c r="N185" s="1" t="s">
        <v>29</v>
      </c>
      <c r="O185" s="5" t="str" cm="1">
        <f t="array" ref="O185">_xlfn.IFS(Table1[[#This Row],[Age]]&lt;25,"Young",Table1[[#This Row],[Age]]&lt;45,"Adult",Table1[[#This Row],[Age]]&gt;=45,"Old")</f>
        <v>Adult</v>
      </c>
    </row>
    <row r="186" spans="1:15" x14ac:dyDescent="0.25">
      <c r="A186" s="1">
        <v>4807</v>
      </c>
      <c r="B186" s="1" t="s">
        <v>333</v>
      </c>
      <c r="C186" s="1" t="s">
        <v>334</v>
      </c>
      <c r="D186" s="1">
        <v>44</v>
      </c>
      <c r="E186" s="1">
        <v>9</v>
      </c>
      <c r="F186" s="1" t="s">
        <v>954</v>
      </c>
      <c r="G186" s="1" t="s">
        <v>45</v>
      </c>
      <c r="H186" s="1" t="s">
        <v>24</v>
      </c>
      <c r="I186" s="1" t="s">
        <v>18</v>
      </c>
      <c r="J186" s="1">
        <v>24</v>
      </c>
      <c r="K186" s="1" t="s">
        <v>37</v>
      </c>
      <c r="L186" s="3">
        <v>85000</v>
      </c>
      <c r="M186" s="3">
        <v>51000</v>
      </c>
      <c r="N186" s="1" t="s">
        <v>20</v>
      </c>
      <c r="O186" s="5" t="str" cm="1">
        <f t="array" ref="O186">_xlfn.IFS(Table1[[#This Row],[Age]]&lt;25,"Young",Table1[[#This Row],[Age]]&lt;45,"Adult",Table1[[#This Row],[Age]]&gt;=45,"Old")</f>
        <v>Adult</v>
      </c>
    </row>
    <row r="187" spans="1:15" x14ac:dyDescent="0.25">
      <c r="A187" s="1">
        <v>4894</v>
      </c>
      <c r="B187" s="1" t="s">
        <v>335</v>
      </c>
      <c r="C187" s="1" t="s">
        <v>272</v>
      </c>
      <c r="D187" s="1">
        <v>33</v>
      </c>
      <c r="E187" s="1">
        <v>14</v>
      </c>
      <c r="F187" s="1" t="s">
        <v>954</v>
      </c>
      <c r="G187" s="1" t="s">
        <v>45</v>
      </c>
      <c r="H187" s="1" t="s">
        <v>64</v>
      </c>
      <c r="I187" s="1" t="s">
        <v>18</v>
      </c>
      <c r="J187" s="1">
        <v>20</v>
      </c>
      <c r="K187" s="1" t="s">
        <v>19</v>
      </c>
      <c r="L187" s="3">
        <v>115000</v>
      </c>
      <c r="M187" s="3">
        <v>57500</v>
      </c>
      <c r="N187" s="1" t="s">
        <v>29</v>
      </c>
      <c r="O187" s="5" t="str" cm="1">
        <f t="array" ref="O187">_xlfn.IFS(Table1[[#This Row],[Age]]&lt;25,"Young",Table1[[#This Row],[Age]]&lt;45,"Adult",Table1[[#This Row],[Age]]&gt;=45,"Old")</f>
        <v>Adult</v>
      </c>
    </row>
    <row r="188" spans="1:15" x14ac:dyDescent="0.25">
      <c r="A188" s="1">
        <v>22305</v>
      </c>
      <c r="B188" s="1" t="s">
        <v>65</v>
      </c>
      <c r="C188" s="1" t="s">
        <v>336</v>
      </c>
      <c r="D188" s="1">
        <v>29</v>
      </c>
      <c r="E188" s="1">
        <v>4</v>
      </c>
      <c r="F188" s="1" t="s">
        <v>953</v>
      </c>
      <c r="G188" s="1" t="s">
        <v>23</v>
      </c>
      <c r="H188" s="1" t="s">
        <v>32</v>
      </c>
      <c r="I188" s="1" t="s">
        <v>18</v>
      </c>
      <c r="J188" s="1">
        <v>40</v>
      </c>
      <c r="K188" s="1" t="s">
        <v>25</v>
      </c>
      <c r="L188" s="3">
        <v>108283</v>
      </c>
      <c r="M188" s="3">
        <v>108283</v>
      </c>
      <c r="N188" s="1" t="s">
        <v>29</v>
      </c>
      <c r="O188" s="5" t="str" cm="1">
        <f t="array" ref="O188">_xlfn.IFS(Table1[[#This Row],[Age]]&lt;25,"Young",Table1[[#This Row],[Age]]&lt;45,"Adult",Table1[[#This Row],[Age]]&gt;=45,"Old")</f>
        <v>Adult</v>
      </c>
    </row>
    <row r="189" spans="1:15" x14ac:dyDescent="0.25">
      <c r="A189" s="1">
        <v>16261</v>
      </c>
      <c r="B189" s="1" t="s">
        <v>147</v>
      </c>
      <c r="C189" s="1" t="s">
        <v>200</v>
      </c>
      <c r="D189" s="1">
        <v>43</v>
      </c>
      <c r="E189" s="1">
        <v>2</v>
      </c>
      <c r="F189" s="1" t="s">
        <v>954</v>
      </c>
      <c r="G189" s="1" t="s">
        <v>35</v>
      </c>
      <c r="H189" s="1" t="s">
        <v>24</v>
      </c>
      <c r="I189" s="1" t="s">
        <v>18</v>
      </c>
      <c r="J189" s="1">
        <v>20</v>
      </c>
      <c r="K189" s="1" t="s">
        <v>37</v>
      </c>
      <c r="L189" s="3">
        <v>92582</v>
      </c>
      <c r="M189" s="3">
        <v>46291</v>
      </c>
      <c r="N189" s="1" t="s">
        <v>29</v>
      </c>
      <c r="O189" s="5" t="str" cm="1">
        <f t="array" ref="O189">_xlfn.IFS(Table1[[#This Row],[Age]]&lt;25,"Young",Table1[[#This Row],[Age]]&lt;45,"Adult",Table1[[#This Row],[Age]]&gt;=45,"Old")</f>
        <v>Adult</v>
      </c>
    </row>
    <row r="190" spans="1:15" x14ac:dyDescent="0.25">
      <c r="A190" s="1">
        <v>18702</v>
      </c>
      <c r="B190" s="1" t="s">
        <v>106</v>
      </c>
      <c r="C190" s="1" t="s">
        <v>337</v>
      </c>
      <c r="D190" s="1">
        <v>44</v>
      </c>
      <c r="E190" s="1">
        <v>23</v>
      </c>
      <c r="F190" s="1" t="s">
        <v>953</v>
      </c>
      <c r="G190" s="1" t="s">
        <v>45</v>
      </c>
      <c r="H190" s="1" t="s">
        <v>32</v>
      </c>
      <c r="I190" s="1" t="s">
        <v>18</v>
      </c>
      <c r="J190" s="1">
        <v>32</v>
      </c>
      <c r="K190" s="1" t="s">
        <v>42</v>
      </c>
      <c r="L190" s="3">
        <v>74449</v>
      </c>
      <c r="M190" s="3">
        <v>59559.199999999997</v>
      </c>
      <c r="N190" s="1" t="s">
        <v>29</v>
      </c>
      <c r="O190" s="5" t="str" cm="1">
        <f t="array" ref="O190">_xlfn.IFS(Table1[[#This Row],[Age]]&lt;25,"Young",Table1[[#This Row],[Age]]&lt;45,"Adult",Table1[[#This Row],[Age]]&gt;=45,"Old")</f>
        <v>Adult</v>
      </c>
    </row>
    <row r="191" spans="1:15" x14ac:dyDescent="0.25">
      <c r="A191" s="1">
        <v>6097</v>
      </c>
      <c r="B191" s="1" t="s">
        <v>338</v>
      </c>
      <c r="C191" s="1" t="s">
        <v>240</v>
      </c>
      <c r="D191" s="1">
        <v>33</v>
      </c>
      <c r="E191" s="1">
        <v>15</v>
      </c>
      <c r="F191" s="1" t="s">
        <v>953</v>
      </c>
      <c r="G191" s="1" t="s">
        <v>23</v>
      </c>
      <c r="H191" s="1" t="s">
        <v>32</v>
      </c>
      <c r="I191" s="1" t="s">
        <v>18</v>
      </c>
      <c r="J191" s="1">
        <v>40</v>
      </c>
      <c r="K191" s="1" t="s">
        <v>25</v>
      </c>
      <c r="L191" s="3">
        <v>122000</v>
      </c>
      <c r="M191" s="3">
        <v>122000</v>
      </c>
      <c r="N191" s="1" t="s">
        <v>26</v>
      </c>
      <c r="O191" s="5" t="str" cm="1">
        <f t="array" ref="O191">_xlfn.IFS(Table1[[#This Row],[Age]]&lt;25,"Young",Table1[[#This Row],[Age]]&lt;45,"Adult",Table1[[#This Row],[Age]]&gt;=45,"Old")</f>
        <v>Adult</v>
      </c>
    </row>
    <row r="192" spans="1:15" x14ac:dyDescent="0.25">
      <c r="A192" s="1">
        <v>9372</v>
      </c>
      <c r="B192" s="1" t="s">
        <v>339</v>
      </c>
      <c r="C192" s="1" t="s">
        <v>340</v>
      </c>
      <c r="D192" s="1">
        <v>32</v>
      </c>
      <c r="E192" s="1">
        <v>14</v>
      </c>
      <c r="F192" s="1" t="s">
        <v>954</v>
      </c>
      <c r="G192" s="1" t="s">
        <v>23</v>
      </c>
      <c r="H192" s="1" t="s">
        <v>192</v>
      </c>
      <c r="I192" s="1" t="s">
        <v>18</v>
      </c>
      <c r="J192" s="1">
        <v>24</v>
      </c>
      <c r="K192" s="1" t="s">
        <v>52</v>
      </c>
      <c r="L192" s="3">
        <v>130000</v>
      </c>
      <c r="M192" s="3">
        <v>78000</v>
      </c>
      <c r="N192" s="1" t="s">
        <v>20</v>
      </c>
      <c r="O192" s="5" t="str" cm="1">
        <f t="array" ref="O192">_xlfn.IFS(Table1[[#This Row],[Age]]&lt;25,"Young",Table1[[#This Row],[Age]]&lt;45,"Adult",Table1[[#This Row],[Age]]&gt;=45,"Old")</f>
        <v>Adult</v>
      </c>
    </row>
    <row r="193" spans="1:15" x14ac:dyDescent="0.25">
      <c r="A193" s="1">
        <v>17977</v>
      </c>
      <c r="B193" s="1" t="s">
        <v>110</v>
      </c>
      <c r="C193" s="1" t="s">
        <v>341</v>
      </c>
      <c r="D193" s="1">
        <v>53</v>
      </c>
      <c r="E193" s="1">
        <v>35</v>
      </c>
      <c r="F193" s="1" t="s">
        <v>953</v>
      </c>
      <c r="G193" s="1" t="s">
        <v>23</v>
      </c>
      <c r="H193" s="1" t="s">
        <v>32</v>
      </c>
      <c r="I193" s="1" t="s">
        <v>18</v>
      </c>
      <c r="J193" s="1">
        <v>20</v>
      </c>
      <c r="K193" s="1" t="s">
        <v>25</v>
      </c>
      <c r="L193" s="3">
        <v>105840</v>
      </c>
      <c r="M193" s="3">
        <v>52920</v>
      </c>
      <c r="N193" s="1" t="s">
        <v>29</v>
      </c>
      <c r="O193" s="5" t="str" cm="1">
        <f t="array" ref="O193">_xlfn.IFS(Table1[[#This Row],[Age]]&lt;25,"Young",Table1[[#This Row],[Age]]&lt;45,"Adult",Table1[[#This Row],[Age]]&gt;=45,"Old")</f>
        <v>Old</v>
      </c>
    </row>
    <row r="194" spans="1:15" x14ac:dyDescent="0.25">
      <c r="A194" s="1">
        <v>20563</v>
      </c>
      <c r="B194" s="1" t="s">
        <v>40</v>
      </c>
      <c r="C194" s="1" t="s">
        <v>342</v>
      </c>
      <c r="D194" s="1">
        <v>52</v>
      </c>
      <c r="E194" s="1">
        <v>17</v>
      </c>
      <c r="F194" s="1" t="s">
        <v>953</v>
      </c>
      <c r="G194" s="1" t="s">
        <v>23</v>
      </c>
      <c r="H194" s="1" t="s">
        <v>32</v>
      </c>
      <c r="I194" s="1" t="s">
        <v>18</v>
      </c>
      <c r="J194" s="1">
        <v>40</v>
      </c>
      <c r="K194" s="1" t="s">
        <v>25</v>
      </c>
      <c r="L194" s="3">
        <v>109726</v>
      </c>
      <c r="M194" s="3">
        <v>109726</v>
      </c>
      <c r="N194" s="1" t="s">
        <v>29</v>
      </c>
      <c r="O194" s="5" t="str" cm="1">
        <f t="array" ref="O194">_xlfn.IFS(Table1[[#This Row],[Age]]&lt;25,"Young",Table1[[#This Row],[Age]]&lt;45,"Adult",Table1[[#This Row],[Age]]&gt;=45,"Old")</f>
        <v>Old</v>
      </c>
    </row>
    <row r="195" spans="1:15" x14ac:dyDescent="0.25">
      <c r="A195" s="1">
        <v>14552</v>
      </c>
      <c r="B195" s="1" t="s">
        <v>224</v>
      </c>
      <c r="C195" s="1" t="s">
        <v>343</v>
      </c>
      <c r="D195" s="1">
        <v>22</v>
      </c>
      <c r="E195" s="1">
        <v>4</v>
      </c>
      <c r="F195" s="1" t="s">
        <v>954</v>
      </c>
      <c r="G195" s="1" t="s">
        <v>45</v>
      </c>
      <c r="H195" s="1" t="s">
        <v>36</v>
      </c>
      <c r="I195" s="1" t="s">
        <v>18</v>
      </c>
      <c r="J195" s="1">
        <v>20</v>
      </c>
      <c r="K195" s="1" t="s">
        <v>37</v>
      </c>
      <c r="L195" s="3">
        <v>85000</v>
      </c>
      <c r="M195" s="3">
        <v>42500</v>
      </c>
      <c r="N195" s="1" t="s">
        <v>20</v>
      </c>
      <c r="O195" s="5" t="str" cm="1">
        <f t="array" ref="O195">_xlfn.IFS(Table1[[#This Row],[Age]]&lt;25,"Young",Table1[[#This Row],[Age]]&lt;45,"Adult",Table1[[#This Row],[Age]]&gt;=45,"Old")</f>
        <v>Young</v>
      </c>
    </row>
    <row r="196" spans="1:15" x14ac:dyDescent="0.25">
      <c r="A196" s="1">
        <v>7627</v>
      </c>
      <c r="B196" s="1" t="s">
        <v>307</v>
      </c>
      <c r="C196" s="1" t="s">
        <v>344</v>
      </c>
      <c r="D196" s="1">
        <v>22</v>
      </c>
      <c r="E196" s="1">
        <v>4</v>
      </c>
      <c r="F196" s="1" t="s">
        <v>954</v>
      </c>
      <c r="G196" s="1" t="s">
        <v>35</v>
      </c>
      <c r="H196" s="1" t="s">
        <v>36</v>
      </c>
      <c r="I196" s="1" t="s">
        <v>18</v>
      </c>
      <c r="J196" s="1">
        <v>32</v>
      </c>
      <c r="K196" s="1" t="s">
        <v>42</v>
      </c>
      <c r="L196" s="3">
        <v>68000</v>
      </c>
      <c r="M196" s="3">
        <v>54400</v>
      </c>
      <c r="N196" s="1" t="s">
        <v>20</v>
      </c>
      <c r="O196" s="5" t="str" cm="1">
        <f t="array" ref="O196">_xlfn.IFS(Table1[[#This Row],[Age]]&lt;25,"Young",Table1[[#This Row],[Age]]&lt;45,"Adult",Table1[[#This Row],[Age]]&gt;=45,"Old")</f>
        <v>Young</v>
      </c>
    </row>
    <row r="197" spans="1:15" x14ac:dyDescent="0.25">
      <c r="A197" s="1">
        <v>18358</v>
      </c>
      <c r="B197" s="1" t="s">
        <v>345</v>
      </c>
      <c r="C197" s="1" t="s">
        <v>22</v>
      </c>
      <c r="D197" s="1">
        <v>22</v>
      </c>
      <c r="E197" s="1">
        <v>4</v>
      </c>
      <c r="F197" s="1" t="s">
        <v>953</v>
      </c>
      <c r="G197" s="1" t="s">
        <v>45</v>
      </c>
      <c r="H197" s="1" t="s">
        <v>24</v>
      </c>
      <c r="I197" s="1" t="s">
        <v>18</v>
      </c>
      <c r="J197" s="1">
        <v>32</v>
      </c>
      <c r="K197" s="1" t="s">
        <v>19</v>
      </c>
      <c r="L197" s="3">
        <v>128812</v>
      </c>
      <c r="M197" s="3">
        <v>103049.60000000001</v>
      </c>
      <c r="N197" s="1" t="s">
        <v>20</v>
      </c>
      <c r="O197" s="5" t="str" cm="1">
        <f t="array" ref="O197">_xlfn.IFS(Table1[[#This Row],[Age]]&lt;25,"Young",Table1[[#This Row],[Age]]&lt;45,"Adult",Table1[[#This Row],[Age]]&gt;=45,"Old")</f>
        <v>Young</v>
      </c>
    </row>
    <row r="198" spans="1:15" x14ac:dyDescent="0.25">
      <c r="A198" s="1">
        <v>7278</v>
      </c>
      <c r="B198" s="1" t="s">
        <v>346</v>
      </c>
      <c r="C198" s="1" t="s">
        <v>347</v>
      </c>
      <c r="D198" s="1">
        <v>28</v>
      </c>
      <c r="E198" s="1">
        <v>7</v>
      </c>
      <c r="F198" s="1" t="s">
        <v>954</v>
      </c>
      <c r="G198" s="1" t="s">
        <v>16</v>
      </c>
      <c r="H198" s="1" t="s">
        <v>24</v>
      </c>
      <c r="I198" s="1" t="s">
        <v>18</v>
      </c>
      <c r="J198" s="1">
        <v>40</v>
      </c>
      <c r="K198" s="1" t="s">
        <v>37</v>
      </c>
      <c r="L198" s="3">
        <v>90889</v>
      </c>
      <c r="M198" s="3">
        <v>90889</v>
      </c>
      <c r="N198" s="1" t="s">
        <v>26</v>
      </c>
      <c r="O198" s="5" t="str" cm="1">
        <f t="array" ref="O198">_xlfn.IFS(Table1[[#This Row],[Age]]&lt;25,"Young",Table1[[#This Row],[Age]]&lt;45,"Adult",Table1[[#This Row],[Age]]&gt;=45,"Old")</f>
        <v>Adult</v>
      </c>
    </row>
    <row r="199" spans="1:15" x14ac:dyDescent="0.25">
      <c r="A199" s="1">
        <v>10901</v>
      </c>
      <c r="B199" s="1" t="s">
        <v>348</v>
      </c>
      <c r="C199" s="1" t="s">
        <v>349</v>
      </c>
      <c r="D199" s="1">
        <v>46</v>
      </c>
      <c r="E199" s="1">
        <v>23</v>
      </c>
      <c r="F199" s="1" t="s">
        <v>953</v>
      </c>
      <c r="G199" s="1" t="s">
        <v>23</v>
      </c>
      <c r="H199" s="1" t="s">
        <v>36</v>
      </c>
      <c r="I199" s="1" t="s">
        <v>51</v>
      </c>
      <c r="J199" s="1">
        <v>20</v>
      </c>
      <c r="K199" s="1" t="s">
        <v>19</v>
      </c>
      <c r="L199" s="3">
        <v>128296</v>
      </c>
      <c r="M199" s="3">
        <v>64148</v>
      </c>
      <c r="N199" s="1" t="s">
        <v>29</v>
      </c>
      <c r="O199" s="5" t="str" cm="1">
        <f t="array" ref="O199">_xlfn.IFS(Table1[[#This Row],[Age]]&lt;25,"Young",Table1[[#This Row],[Age]]&lt;45,"Adult",Table1[[#This Row],[Age]]&gt;=45,"Old")</f>
        <v>Old</v>
      </c>
    </row>
    <row r="200" spans="1:15" x14ac:dyDescent="0.25">
      <c r="A200" s="1">
        <v>13761</v>
      </c>
      <c r="B200" s="1" t="s">
        <v>350</v>
      </c>
      <c r="C200" s="1" t="s">
        <v>351</v>
      </c>
      <c r="D200" s="1">
        <v>53</v>
      </c>
      <c r="E200" s="1">
        <v>29</v>
      </c>
      <c r="F200" s="1" t="s">
        <v>953</v>
      </c>
      <c r="G200" s="1" t="s">
        <v>16</v>
      </c>
      <c r="H200" s="1" t="s">
        <v>17</v>
      </c>
      <c r="I200" s="1" t="s">
        <v>18</v>
      </c>
      <c r="J200" s="1">
        <v>20</v>
      </c>
      <c r="K200" s="1" t="s">
        <v>19</v>
      </c>
      <c r="L200" s="3">
        <v>138000</v>
      </c>
      <c r="M200" s="3">
        <v>69000</v>
      </c>
      <c r="N200" s="1" t="s">
        <v>29</v>
      </c>
      <c r="O200" s="5" t="str" cm="1">
        <f t="array" ref="O200">_xlfn.IFS(Table1[[#This Row],[Age]]&lt;25,"Young",Table1[[#This Row],[Age]]&lt;45,"Adult",Table1[[#This Row],[Age]]&gt;=45,"Old")</f>
        <v>Old</v>
      </c>
    </row>
    <row r="201" spans="1:15" x14ac:dyDescent="0.25">
      <c r="A201" s="1">
        <v>22696</v>
      </c>
      <c r="B201" s="1" t="s">
        <v>352</v>
      </c>
      <c r="C201" s="1" t="s">
        <v>353</v>
      </c>
      <c r="D201" s="1">
        <v>51</v>
      </c>
      <c r="E201" s="1">
        <v>7</v>
      </c>
      <c r="F201" s="1" t="s">
        <v>954</v>
      </c>
      <c r="G201" s="1" t="s">
        <v>23</v>
      </c>
      <c r="H201" s="1" t="s">
        <v>24</v>
      </c>
      <c r="I201" s="1" t="s">
        <v>18</v>
      </c>
      <c r="J201" s="1">
        <v>16</v>
      </c>
      <c r="K201" s="1" t="s">
        <v>19</v>
      </c>
      <c r="L201" s="3">
        <v>115000</v>
      </c>
      <c r="M201" s="3">
        <v>46000</v>
      </c>
      <c r="N201" s="1" t="s">
        <v>26</v>
      </c>
      <c r="O201" s="5" t="str" cm="1">
        <f t="array" ref="O201">_xlfn.IFS(Table1[[#This Row],[Age]]&lt;25,"Young",Table1[[#This Row],[Age]]&lt;45,"Adult",Table1[[#This Row],[Age]]&gt;=45,"Old")</f>
        <v>Old</v>
      </c>
    </row>
    <row r="202" spans="1:15" x14ac:dyDescent="0.25">
      <c r="A202" s="1">
        <v>12923</v>
      </c>
      <c r="B202" s="1" t="s">
        <v>167</v>
      </c>
      <c r="C202" s="1" t="s">
        <v>354</v>
      </c>
      <c r="D202" s="1">
        <v>36</v>
      </c>
      <c r="E202" s="1">
        <v>1</v>
      </c>
      <c r="F202" s="1" t="s">
        <v>954</v>
      </c>
      <c r="G202" s="1" t="s">
        <v>35</v>
      </c>
      <c r="H202" s="1" t="s">
        <v>17</v>
      </c>
      <c r="I202" s="1" t="s">
        <v>51</v>
      </c>
      <c r="J202" s="1">
        <v>24</v>
      </c>
      <c r="K202" s="1" t="s">
        <v>37</v>
      </c>
      <c r="L202" s="3">
        <v>86154</v>
      </c>
      <c r="M202" s="3">
        <v>51692.4</v>
      </c>
      <c r="N202" s="1" t="s">
        <v>29</v>
      </c>
      <c r="O202" s="5" t="str" cm="1">
        <f t="array" ref="O202">_xlfn.IFS(Table1[[#This Row],[Age]]&lt;25,"Young",Table1[[#This Row],[Age]]&lt;45,"Adult",Table1[[#This Row],[Age]]&gt;=45,"Old")</f>
        <v>Adult</v>
      </c>
    </row>
    <row r="203" spans="1:15" x14ac:dyDescent="0.25">
      <c r="A203" s="1">
        <v>15042</v>
      </c>
      <c r="B203" s="1" t="s">
        <v>355</v>
      </c>
      <c r="C203" s="1" t="s">
        <v>61</v>
      </c>
      <c r="D203" s="1">
        <v>58</v>
      </c>
      <c r="E203" s="1">
        <v>21</v>
      </c>
      <c r="F203" s="1" t="s">
        <v>954</v>
      </c>
      <c r="G203" s="1" t="s">
        <v>23</v>
      </c>
      <c r="H203" s="1" t="s">
        <v>17</v>
      </c>
      <c r="I203" s="1" t="s">
        <v>18</v>
      </c>
      <c r="J203" s="1">
        <v>20</v>
      </c>
      <c r="K203" s="1" t="s">
        <v>19</v>
      </c>
      <c r="L203" s="3">
        <v>123856</v>
      </c>
      <c r="M203" s="3">
        <v>61928</v>
      </c>
      <c r="N203" s="1" t="s">
        <v>29</v>
      </c>
      <c r="O203" s="5" t="str" cm="1">
        <f t="array" ref="O203">_xlfn.IFS(Table1[[#This Row],[Age]]&lt;25,"Young",Table1[[#This Row],[Age]]&lt;45,"Adult",Table1[[#This Row],[Age]]&gt;=45,"Old")</f>
        <v>Old</v>
      </c>
    </row>
    <row r="204" spans="1:15" x14ac:dyDescent="0.25">
      <c r="A204" s="1">
        <v>17646</v>
      </c>
      <c r="B204" s="1" t="s">
        <v>182</v>
      </c>
      <c r="C204" s="1" t="s">
        <v>83</v>
      </c>
      <c r="D204" s="1">
        <v>57</v>
      </c>
      <c r="E204" s="1">
        <v>30</v>
      </c>
      <c r="F204" s="1" t="s">
        <v>953</v>
      </c>
      <c r="G204" s="1" t="s">
        <v>16</v>
      </c>
      <c r="H204" s="1" t="s">
        <v>32</v>
      </c>
      <c r="I204" s="1" t="s">
        <v>51</v>
      </c>
      <c r="J204" s="1">
        <v>40</v>
      </c>
      <c r="K204" s="1" t="s">
        <v>42</v>
      </c>
      <c r="L204" s="3">
        <v>84780</v>
      </c>
      <c r="M204" s="3">
        <v>84780</v>
      </c>
      <c r="N204" s="1" t="s">
        <v>29</v>
      </c>
      <c r="O204" s="5" t="str" cm="1">
        <f t="array" ref="O204">_xlfn.IFS(Table1[[#This Row],[Age]]&lt;25,"Young",Table1[[#This Row],[Age]]&lt;45,"Adult",Table1[[#This Row],[Age]]&gt;=45,"Old")</f>
        <v>Old</v>
      </c>
    </row>
    <row r="205" spans="1:15" x14ac:dyDescent="0.25">
      <c r="A205" s="1">
        <v>15481</v>
      </c>
      <c r="B205" s="1" t="s">
        <v>356</v>
      </c>
      <c r="C205" s="1" t="s">
        <v>59</v>
      </c>
      <c r="D205" s="1">
        <v>62</v>
      </c>
      <c r="E205" s="1">
        <v>39</v>
      </c>
      <c r="F205" s="1" t="s">
        <v>953</v>
      </c>
      <c r="G205" s="1" t="s">
        <v>35</v>
      </c>
      <c r="H205" s="1" t="s">
        <v>119</v>
      </c>
      <c r="I205" s="1" t="s">
        <v>51</v>
      </c>
      <c r="J205" s="1">
        <v>20</v>
      </c>
      <c r="K205" s="1" t="s">
        <v>19</v>
      </c>
      <c r="L205" s="3">
        <v>124200</v>
      </c>
      <c r="M205" s="3">
        <v>62100</v>
      </c>
      <c r="N205" s="1" t="s">
        <v>29</v>
      </c>
      <c r="O205" s="5" t="str" cm="1">
        <f t="array" ref="O205">_xlfn.IFS(Table1[[#This Row],[Age]]&lt;25,"Young",Table1[[#This Row],[Age]]&lt;45,"Adult",Table1[[#This Row],[Age]]&gt;=45,"Old")</f>
        <v>Old</v>
      </c>
    </row>
    <row r="206" spans="1:15" x14ac:dyDescent="0.25">
      <c r="A206" s="1">
        <v>4652</v>
      </c>
      <c r="B206" s="1" t="s">
        <v>357</v>
      </c>
      <c r="C206" s="1" t="s">
        <v>261</v>
      </c>
      <c r="D206" s="1">
        <v>52</v>
      </c>
      <c r="E206" s="1">
        <v>5</v>
      </c>
      <c r="F206" s="1" t="s">
        <v>953</v>
      </c>
      <c r="G206" s="1" t="s">
        <v>23</v>
      </c>
      <c r="H206" s="1" t="s">
        <v>32</v>
      </c>
      <c r="I206" s="1" t="s">
        <v>18</v>
      </c>
      <c r="J206" s="1">
        <v>32</v>
      </c>
      <c r="K206" s="1" t="s">
        <v>25</v>
      </c>
      <c r="L206" s="3">
        <v>117648</v>
      </c>
      <c r="M206" s="3">
        <v>94118.399999999994</v>
      </c>
      <c r="N206" s="1" t="s">
        <v>20</v>
      </c>
      <c r="O206" s="5" t="str" cm="1">
        <f t="array" ref="O206">_xlfn.IFS(Table1[[#This Row],[Age]]&lt;25,"Young",Table1[[#This Row],[Age]]&lt;45,"Adult",Table1[[#This Row],[Age]]&gt;=45,"Old")</f>
        <v>Old</v>
      </c>
    </row>
    <row r="207" spans="1:15" x14ac:dyDescent="0.25">
      <c r="A207" s="1">
        <v>8810</v>
      </c>
      <c r="B207" s="1" t="s">
        <v>281</v>
      </c>
      <c r="C207" s="1" t="s">
        <v>358</v>
      </c>
      <c r="D207" s="1">
        <v>49</v>
      </c>
      <c r="E207" s="1">
        <v>30</v>
      </c>
      <c r="F207" s="1" t="s">
        <v>953</v>
      </c>
      <c r="G207" s="1" t="s">
        <v>50</v>
      </c>
      <c r="H207" s="1" t="s">
        <v>24</v>
      </c>
      <c r="I207" s="1" t="s">
        <v>18</v>
      </c>
      <c r="J207" s="1">
        <v>32</v>
      </c>
      <c r="K207" s="1" t="s">
        <v>19</v>
      </c>
      <c r="L207" s="3">
        <v>129138</v>
      </c>
      <c r="M207" s="3">
        <v>103310.39999999999</v>
      </c>
      <c r="N207" s="1" t="s">
        <v>29</v>
      </c>
      <c r="O207" s="5" t="str" cm="1">
        <f t="array" ref="O207">_xlfn.IFS(Table1[[#This Row],[Age]]&lt;25,"Young",Table1[[#This Row],[Age]]&lt;45,"Adult",Table1[[#This Row],[Age]]&gt;=45,"Old")</f>
        <v>Old</v>
      </c>
    </row>
    <row r="208" spans="1:15" x14ac:dyDescent="0.25">
      <c r="A208" s="1">
        <v>8049</v>
      </c>
      <c r="B208" s="1" t="s">
        <v>359</v>
      </c>
      <c r="C208" s="1" t="s">
        <v>360</v>
      </c>
      <c r="D208" s="1">
        <v>34</v>
      </c>
      <c r="E208" s="1">
        <v>16</v>
      </c>
      <c r="F208" s="1" t="s">
        <v>953</v>
      </c>
      <c r="G208" s="1" t="s">
        <v>45</v>
      </c>
      <c r="H208" s="1" t="s">
        <v>36</v>
      </c>
      <c r="I208" s="1" t="s">
        <v>18</v>
      </c>
      <c r="J208" s="1">
        <v>32</v>
      </c>
      <c r="K208" s="1" t="s">
        <v>42</v>
      </c>
      <c r="L208" s="3">
        <v>84402</v>
      </c>
      <c r="M208" s="3">
        <v>67521.600000000006</v>
      </c>
      <c r="N208" s="1" t="s">
        <v>29</v>
      </c>
      <c r="O208" s="5" t="str" cm="1">
        <f t="array" ref="O208">_xlfn.IFS(Table1[[#This Row],[Age]]&lt;25,"Young",Table1[[#This Row],[Age]]&lt;45,"Adult",Table1[[#This Row],[Age]]&gt;=45,"Old")</f>
        <v>Adult</v>
      </c>
    </row>
    <row r="209" spans="1:15" x14ac:dyDescent="0.25">
      <c r="A209" s="1">
        <v>2785</v>
      </c>
      <c r="B209" s="1" t="s">
        <v>361</v>
      </c>
      <c r="C209" s="1" t="s">
        <v>362</v>
      </c>
      <c r="D209" s="1">
        <v>46</v>
      </c>
      <c r="E209" s="1">
        <v>18</v>
      </c>
      <c r="F209" s="1" t="s">
        <v>954</v>
      </c>
      <c r="G209" s="1" t="s">
        <v>45</v>
      </c>
      <c r="H209" s="1" t="s">
        <v>24</v>
      </c>
      <c r="I209" s="1" t="s">
        <v>18</v>
      </c>
      <c r="J209" s="1">
        <v>40</v>
      </c>
      <c r="K209" s="1" t="s">
        <v>37</v>
      </c>
      <c r="L209" s="3">
        <v>95585</v>
      </c>
      <c r="M209" s="3">
        <v>95585</v>
      </c>
      <c r="N209" s="1" t="s">
        <v>29</v>
      </c>
      <c r="O209" s="5" t="str" cm="1">
        <f t="array" ref="O209">_xlfn.IFS(Table1[[#This Row],[Age]]&lt;25,"Young",Table1[[#This Row],[Age]]&lt;45,"Adult",Table1[[#This Row],[Age]]&gt;=45,"Old")</f>
        <v>Old</v>
      </c>
    </row>
    <row r="210" spans="1:15" x14ac:dyDescent="0.25">
      <c r="A210" s="1">
        <v>11765</v>
      </c>
      <c r="B210" s="1" t="s">
        <v>363</v>
      </c>
      <c r="C210" s="1" t="s">
        <v>364</v>
      </c>
      <c r="D210" s="1">
        <v>52</v>
      </c>
      <c r="E210" s="1">
        <v>19</v>
      </c>
      <c r="F210" s="1" t="s">
        <v>953</v>
      </c>
      <c r="G210" s="1" t="s">
        <v>50</v>
      </c>
      <c r="H210" s="1" t="s">
        <v>64</v>
      </c>
      <c r="I210" s="1" t="s">
        <v>51</v>
      </c>
      <c r="J210" s="1">
        <v>20</v>
      </c>
      <c r="K210" s="1" t="s">
        <v>25</v>
      </c>
      <c r="L210" s="3">
        <v>105840</v>
      </c>
      <c r="M210" s="3">
        <v>52920</v>
      </c>
      <c r="N210" s="1" t="s">
        <v>20</v>
      </c>
      <c r="O210" s="5" t="str" cm="1">
        <f t="array" ref="O210">_xlfn.IFS(Table1[[#This Row],[Age]]&lt;25,"Young",Table1[[#This Row],[Age]]&lt;45,"Adult",Table1[[#This Row],[Age]]&gt;=45,"Old")</f>
        <v>Old</v>
      </c>
    </row>
    <row r="211" spans="1:15" x14ac:dyDescent="0.25">
      <c r="A211" s="1">
        <v>1376</v>
      </c>
      <c r="B211" s="1" t="s">
        <v>131</v>
      </c>
      <c r="C211" s="1" t="s">
        <v>365</v>
      </c>
      <c r="D211" s="1">
        <v>49</v>
      </c>
      <c r="E211" s="1">
        <v>23</v>
      </c>
      <c r="F211" s="1" t="s">
        <v>954</v>
      </c>
      <c r="G211" s="1" t="s">
        <v>35</v>
      </c>
      <c r="H211" s="1" t="s">
        <v>24</v>
      </c>
      <c r="I211" s="1" t="s">
        <v>18</v>
      </c>
      <c r="J211" s="1">
        <v>20</v>
      </c>
      <c r="K211" s="1" t="s">
        <v>25</v>
      </c>
      <c r="L211" s="3">
        <v>98000</v>
      </c>
      <c r="M211" s="3">
        <v>49000</v>
      </c>
      <c r="N211" s="1" t="s">
        <v>20</v>
      </c>
      <c r="O211" s="5" t="str" cm="1">
        <f t="array" ref="O211">_xlfn.IFS(Table1[[#This Row],[Age]]&lt;25,"Young",Table1[[#This Row],[Age]]&lt;45,"Adult",Table1[[#This Row],[Age]]&gt;=45,"Old")</f>
        <v>Old</v>
      </c>
    </row>
    <row r="212" spans="1:15" x14ac:dyDescent="0.25">
      <c r="A212" s="1">
        <v>19964</v>
      </c>
      <c r="B212" s="1" t="s">
        <v>366</v>
      </c>
      <c r="C212" s="1" t="s">
        <v>85</v>
      </c>
      <c r="D212" s="1">
        <v>47</v>
      </c>
      <c r="E212" s="1">
        <v>13</v>
      </c>
      <c r="F212" s="1" t="s">
        <v>954</v>
      </c>
      <c r="G212" s="1" t="s">
        <v>35</v>
      </c>
      <c r="H212" s="1" t="s">
        <v>32</v>
      </c>
      <c r="I212" s="1" t="s">
        <v>18</v>
      </c>
      <c r="J212" s="1">
        <v>40</v>
      </c>
      <c r="K212" s="1" t="s">
        <v>25</v>
      </c>
      <c r="L212" s="3">
        <v>103090</v>
      </c>
      <c r="M212" s="3">
        <v>103090</v>
      </c>
      <c r="N212" s="1" t="s">
        <v>29</v>
      </c>
      <c r="O212" s="5" t="str" cm="1">
        <f t="array" ref="O212">_xlfn.IFS(Table1[[#This Row],[Age]]&lt;25,"Young",Table1[[#This Row],[Age]]&lt;45,"Adult",Table1[[#This Row],[Age]]&gt;=45,"Old")</f>
        <v>Old</v>
      </c>
    </row>
    <row r="213" spans="1:15" x14ac:dyDescent="0.25">
      <c r="A213" s="1">
        <v>18837</v>
      </c>
      <c r="B213" s="1" t="s">
        <v>367</v>
      </c>
      <c r="C213" s="1" t="s">
        <v>368</v>
      </c>
      <c r="D213" s="1">
        <v>29</v>
      </c>
      <c r="E213" s="1">
        <v>9</v>
      </c>
      <c r="F213" s="1" t="s">
        <v>953</v>
      </c>
      <c r="G213" s="1" t="s">
        <v>45</v>
      </c>
      <c r="H213" s="1" t="s">
        <v>24</v>
      </c>
      <c r="I213" s="1" t="s">
        <v>18</v>
      </c>
      <c r="J213" s="1">
        <v>20</v>
      </c>
      <c r="K213" s="1" t="s">
        <v>19</v>
      </c>
      <c r="L213" s="3">
        <v>124200</v>
      </c>
      <c r="M213" s="3">
        <v>62100</v>
      </c>
      <c r="N213" s="1" t="s">
        <v>29</v>
      </c>
      <c r="O213" s="5" t="str" cm="1">
        <f t="array" ref="O213">_xlfn.IFS(Table1[[#This Row],[Age]]&lt;25,"Young",Table1[[#This Row],[Age]]&lt;45,"Adult",Table1[[#This Row],[Age]]&gt;=45,"Old")</f>
        <v>Adult</v>
      </c>
    </row>
    <row r="214" spans="1:15" x14ac:dyDescent="0.25">
      <c r="A214" s="1">
        <v>8227</v>
      </c>
      <c r="B214" s="1" t="s">
        <v>369</v>
      </c>
      <c r="C214" s="1" t="s">
        <v>246</v>
      </c>
      <c r="D214" s="1">
        <v>28</v>
      </c>
      <c r="E214" s="1">
        <v>0</v>
      </c>
      <c r="F214" s="1" t="s">
        <v>953</v>
      </c>
      <c r="G214" s="1" t="s">
        <v>16</v>
      </c>
      <c r="H214" s="1" t="s">
        <v>17</v>
      </c>
      <c r="I214" s="1" t="s">
        <v>18</v>
      </c>
      <c r="J214" s="1">
        <v>40</v>
      </c>
      <c r="K214" s="1" t="s">
        <v>52</v>
      </c>
      <c r="L214" s="3">
        <v>140796</v>
      </c>
      <c r="M214" s="3">
        <v>140796</v>
      </c>
      <c r="N214" s="1" t="s">
        <v>29</v>
      </c>
      <c r="O214" s="5" t="str" cm="1">
        <f t="array" ref="O214">_xlfn.IFS(Table1[[#This Row],[Age]]&lt;25,"Young",Table1[[#This Row],[Age]]&lt;45,"Adult",Table1[[#This Row],[Age]]&gt;=45,"Old")</f>
        <v>Adult</v>
      </c>
    </row>
    <row r="215" spans="1:15" x14ac:dyDescent="0.25">
      <c r="A215" s="1">
        <v>19969</v>
      </c>
      <c r="B215" s="1" t="s">
        <v>162</v>
      </c>
      <c r="C215" s="1" t="s">
        <v>267</v>
      </c>
      <c r="D215" s="1">
        <v>45</v>
      </c>
      <c r="E215" s="1">
        <v>7</v>
      </c>
      <c r="F215" s="1" t="s">
        <v>953</v>
      </c>
      <c r="G215" s="1" t="s">
        <v>35</v>
      </c>
      <c r="H215" s="1" t="s">
        <v>64</v>
      </c>
      <c r="I215" s="1" t="s">
        <v>51</v>
      </c>
      <c r="J215" s="1">
        <v>32</v>
      </c>
      <c r="K215" s="1" t="s">
        <v>52</v>
      </c>
      <c r="L215" s="3">
        <v>140400</v>
      </c>
      <c r="M215" s="3">
        <v>112320</v>
      </c>
      <c r="N215" s="1" t="s">
        <v>29</v>
      </c>
      <c r="O215" s="5" t="str" cm="1">
        <f t="array" ref="O215">_xlfn.IFS(Table1[[#This Row],[Age]]&lt;25,"Young",Table1[[#This Row],[Age]]&lt;45,"Adult",Table1[[#This Row],[Age]]&gt;=45,"Old")</f>
        <v>Old</v>
      </c>
    </row>
    <row r="216" spans="1:15" x14ac:dyDescent="0.25">
      <c r="A216" s="1">
        <v>7903</v>
      </c>
      <c r="B216" s="1" t="s">
        <v>370</v>
      </c>
      <c r="C216" s="1" t="s">
        <v>371</v>
      </c>
      <c r="D216" s="1">
        <v>26</v>
      </c>
      <c r="E216" s="1">
        <v>1</v>
      </c>
      <c r="F216" s="1" t="s">
        <v>953</v>
      </c>
      <c r="G216" s="1" t="s">
        <v>23</v>
      </c>
      <c r="H216" s="1" t="s">
        <v>36</v>
      </c>
      <c r="I216" s="1" t="s">
        <v>18</v>
      </c>
      <c r="J216" s="1">
        <v>24</v>
      </c>
      <c r="K216" s="1" t="s">
        <v>42</v>
      </c>
      <c r="L216" s="3">
        <v>73688</v>
      </c>
      <c r="M216" s="3">
        <v>44212.800000000003</v>
      </c>
      <c r="N216" s="1" t="s">
        <v>20</v>
      </c>
      <c r="O216" s="5" t="str" cm="1">
        <f t="array" ref="O216">_xlfn.IFS(Table1[[#This Row],[Age]]&lt;25,"Young",Table1[[#This Row],[Age]]&lt;45,"Adult",Table1[[#This Row],[Age]]&gt;=45,"Old")</f>
        <v>Adult</v>
      </c>
    </row>
    <row r="217" spans="1:15" x14ac:dyDescent="0.25">
      <c r="A217" s="1">
        <v>922</v>
      </c>
      <c r="B217" s="1" t="s">
        <v>372</v>
      </c>
      <c r="C217" s="1" t="s">
        <v>373</v>
      </c>
      <c r="D217" s="1">
        <v>49</v>
      </c>
      <c r="E217" s="1">
        <v>31</v>
      </c>
      <c r="F217" s="1" t="s">
        <v>954</v>
      </c>
      <c r="G217" s="1" t="s">
        <v>35</v>
      </c>
      <c r="H217" s="1" t="s">
        <v>36</v>
      </c>
      <c r="I217" s="1" t="s">
        <v>51</v>
      </c>
      <c r="J217" s="1">
        <v>32</v>
      </c>
      <c r="K217" s="1" t="s">
        <v>42</v>
      </c>
      <c r="L217" s="3">
        <v>68582</v>
      </c>
      <c r="M217" s="3">
        <v>54865.599999999999</v>
      </c>
      <c r="N217" s="1" t="s">
        <v>29</v>
      </c>
      <c r="O217" s="5" t="str" cm="1">
        <f t="array" ref="O217">_xlfn.IFS(Table1[[#This Row],[Age]]&lt;25,"Young",Table1[[#This Row],[Age]]&lt;45,"Adult",Table1[[#This Row],[Age]]&gt;=45,"Old")</f>
        <v>Old</v>
      </c>
    </row>
    <row r="218" spans="1:15" x14ac:dyDescent="0.25">
      <c r="A218" s="1">
        <v>3013</v>
      </c>
      <c r="B218" s="1" t="s">
        <v>369</v>
      </c>
      <c r="C218" s="1" t="s">
        <v>374</v>
      </c>
      <c r="D218" s="1">
        <v>53</v>
      </c>
      <c r="E218" s="1">
        <v>19</v>
      </c>
      <c r="F218" s="1" t="s">
        <v>953</v>
      </c>
      <c r="G218" s="1" t="s">
        <v>50</v>
      </c>
      <c r="H218" s="1" t="s">
        <v>32</v>
      </c>
      <c r="I218" s="1" t="s">
        <v>18</v>
      </c>
      <c r="J218" s="1">
        <v>40</v>
      </c>
      <c r="K218" s="1" t="s">
        <v>25</v>
      </c>
      <c r="L218" s="3">
        <v>122000</v>
      </c>
      <c r="M218" s="3">
        <v>122000</v>
      </c>
      <c r="N218" s="1" t="s">
        <v>26</v>
      </c>
      <c r="O218" s="5" t="str" cm="1">
        <f t="array" ref="O218">_xlfn.IFS(Table1[[#This Row],[Age]]&lt;25,"Young",Table1[[#This Row],[Age]]&lt;45,"Adult",Table1[[#This Row],[Age]]&gt;=45,"Old")</f>
        <v>Old</v>
      </c>
    </row>
    <row r="219" spans="1:15" x14ac:dyDescent="0.25">
      <c r="A219" s="1">
        <v>21366</v>
      </c>
      <c r="B219" s="1" t="s">
        <v>375</v>
      </c>
      <c r="C219" s="1" t="s">
        <v>376</v>
      </c>
      <c r="D219" s="1">
        <v>46</v>
      </c>
      <c r="E219" s="1">
        <v>7</v>
      </c>
      <c r="F219" s="1" t="s">
        <v>953</v>
      </c>
      <c r="G219" s="1" t="s">
        <v>16</v>
      </c>
      <c r="H219" s="1" t="s">
        <v>32</v>
      </c>
      <c r="I219" s="1" t="s">
        <v>18</v>
      </c>
      <c r="J219" s="1">
        <v>40</v>
      </c>
      <c r="K219" s="1" t="s">
        <v>25</v>
      </c>
      <c r="L219" s="3">
        <v>106334</v>
      </c>
      <c r="M219" s="3">
        <v>106334</v>
      </c>
      <c r="N219" s="1" t="s">
        <v>29</v>
      </c>
      <c r="O219" s="5" t="str" cm="1">
        <f t="array" ref="O219">_xlfn.IFS(Table1[[#This Row],[Age]]&lt;25,"Young",Table1[[#This Row],[Age]]&lt;45,"Adult",Table1[[#This Row],[Age]]&gt;=45,"Old")</f>
        <v>Old</v>
      </c>
    </row>
    <row r="220" spans="1:15" x14ac:dyDescent="0.25">
      <c r="A220" s="1">
        <v>19842</v>
      </c>
      <c r="B220" s="1" t="s">
        <v>235</v>
      </c>
      <c r="C220" s="1" t="s">
        <v>236</v>
      </c>
      <c r="D220" s="1">
        <v>32</v>
      </c>
      <c r="E220" s="1">
        <v>13</v>
      </c>
      <c r="F220" s="1" t="s">
        <v>953</v>
      </c>
      <c r="G220" s="1" t="s">
        <v>23</v>
      </c>
      <c r="H220" s="1" t="s">
        <v>17</v>
      </c>
      <c r="I220" s="1" t="s">
        <v>18</v>
      </c>
      <c r="J220" s="1">
        <v>20</v>
      </c>
      <c r="K220" s="1" t="s">
        <v>25</v>
      </c>
      <c r="L220" s="3">
        <v>112109</v>
      </c>
      <c r="M220" s="3">
        <v>56054.5</v>
      </c>
      <c r="N220" s="1" t="s">
        <v>26</v>
      </c>
      <c r="O220" s="5" t="str" cm="1">
        <f t="array" ref="O220">_xlfn.IFS(Table1[[#This Row],[Age]]&lt;25,"Young",Table1[[#This Row],[Age]]&lt;45,"Adult",Table1[[#This Row],[Age]]&gt;=45,"Old")</f>
        <v>Adult</v>
      </c>
    </row>
    <row r="221" spans="1:15" x14ac:dyDescent="0.25">
      <c r="A221" s="1">
        <v>2616</v>
      </c>
      <c r="B221" s="1" t="s">
        <v>377</v>
      </c>
      <c r="C221" s="1" t="s">
        <v>175</v>
      </c>
      <c r="D221" s="1">
        <v>40</v>
      </c>
      <c r="E221" s="1">
        <v>5</v>
      </c>
      <c r="F221" s="1" t="s">
        <v>953</v>
      </c>
      <c r="G221" s="1" t="s">
        <v>50</v>
      </c>
      <c r="H221" s="1" t="s">
        <v>17</v>
      </c>
      <c r="I221" s="1" t="s">
        <v>51</v>
      </c>
      <c r="J221" s="1">
        <v>32</v>
      </c>
      <c r="K221" s="1" t="s">
        <v>25</v>
      </c>
      <c r="L221" s="3">
        <v>114243</v>
      </c>
      <c r="M221" s="3">
        <v>91394.4</v>
      </c>
      <c r="N221" s="1" t="s">
        <v>20</v>
      </c>
      <c r="O221" s="5" t="str" cm="1">
        <f t="array" ref="O221">_xlfn.IFS(Table1[[#This Row],[Age]]&lt;25,"Young",Table1[[#This Row],[Age]]&lt;45,"Adult",Table1[[#This Row],[Age]]&gt;=45,"Old")</f>
        <v>Adult</v>
      </c>
    </row>
    <row r="222" spans="1:15" x14ac:dyDescent="0.25">
      <c r="A222" s="1">
        <v>8188</v>
      </c>
      <c r="B222" s="1" t="s">
        <v>378</v>
      </c>
      <c r="C222" s="1" t="s">
        <v>379</v>
      </c>
      <c r="D222" s="1">
        <v>49</v>
      </c>
      <c r="E222" s="1">
        <v>20</v>
      </c>
      <c r="F222" s="1" t="s">
        <v>953</v>
      </c>
      <c r="G222" s="1" t="s">
        <v>16</v>
      </c>
      <c r="H222" s="1" t="s">
        <v>24</v>
      </c>
      <c r="I222" s="1" t="s">
        <v>18</v>
      </c>
      <c r="J222" s="1">
        <v>40</v>
      </c>
      <c r="K222" s="1" t="s">
        <v>37</v>
      </c>
      <c r="L222" s="3">
        <v>99617</v>
      </c>
      <c r="M222" s="3">
        <v>99617</v>
      </c>
      <c r="N222" s="1" t="s">
        <v>26</v>
      </c>
      <c r="O222" s="5" t="str" cm="1">
        <f t="array" ref="O222">_xlfn.IFS(Table1[[#This Row],[Age]]&lt;25,"Young",Table1[[#This Row],[Age]]&lt;45,"Adult",Table1[[#This Row],[Age]]&gt;=45,"Old")</f>
        <v>Old</v>
      </c>
    </row>
    <row r="223" spans="1:15" x14ac:dyDescent="0.25">
      <c r="A223" s="1">
        <v>2895</v>
      </c>
      <c r="B223" s="1" t="s">
        <v>369</v>
      </c>
      <c r="C223" s="1" t="s">
        <v>380</v>
      </c>
      <c r="D223" s="1">
        <v>30</v>
      </c>
      <c r="E223" s="1">
        <v>10</v>
      </c>
      <c r="F223" s="1" t="s">
        <v>953</v>
      </c>
      <c r="G223" s="1" t="s">
        <v>23</v>
      </c>
      <c r="H223" s="1" t="s">
        <v>24</v>
      </c>
      <c r="I223" s="1" t="s">
        <v>18</v>
      </c>
      <c r="J223" s="1">
        <v>40</v>
      </c>
      <c r="K223" s="1" t="s">
        <v>25</v>
      </c>
      <c r="L223" s="3">
        <v>108752</v>
      </c>
      <c r="M223" s="3">
        <v>108752</v>
      </c>
      <c r="N223" s="1" t="s">
        <v>29</v>
      </c>
      <c r="O223" s="5" t="str" cm="1">
        <f t="array" ref="O223">_xlfn.IFS(Table1[[#This Row],[Age]]&lt;25,"Young",Table1[[#This Row],[Age]]&lt;45,"Adult",Table1[[#This Row],[Age]]&gt;=45,"Old")</f>
        <v>Adult</v>
      </c>
    </row>
    <row r="224" spans="1:15" x14ac:dyDescent="0.25">
      <c r="A224" s="1">
        <v>1716</v>
      </c>
      <c r="B224" s="1" t="s">
        <v>381</v>
      </c>
      <c r="C224" s="1" t="s">
        <v>382</v>
      </c>
      <c r="D224" s="1">
        <v>43</v>
      </c>
      <c r="E224" s="1">
        <v>10</v>
      </c>
      <c r="F224" s="1" t="s">
        <v>953</v>
      </c>
      <c r="G224" s="1" t="s">
        <v>16</v>
      </c>
      <c r="H224" s="1" t="s">
        <v>24</v>
      </c>
      <c r="I224" s="1" t="s">
        <v>18</v>
      </c>
      <c r="J224" s="1">
        <v>20</v>
      </c>
      <c r="K224" s="1" t="s">
        <v>37</v>
      </c>
      <c r="L224" s="3">
        <v>107000</v>
      </c>
      <c r="M224" s="3">
        <v>53500</v>
      </c>
      <c r="N224" s="1" t="s">
        <v>26</v>
      </c>
      <c r="O224" s="5" t="str" cm="1">
        <f t="array" ref="O224">_xlfn.IFS(Table1[[#This Row],[Age]]&lt;25,"Young",Table1[[#This Row],[Age]]&lt;45,"Adult",Table1[[#This Row],[Age]]&gt;=45,"Old")</f>
        <v>Adult</v>
      </c>
    </row>
    <row r="225" spans="1:15" x14ac:dyDescent="0.25">
      <c r="A225" s="1">
        <v>19272</v>
      </c>
      <c r="B225" s="1" t="s">
        <v>209</v>
      </c>
      <c r="C225" s="1" t="s">
        <v>210</v>
      </c>
      <c r="D225" s="1">
        <v>40</v>
      </c>
      <c r="E225" s="1">
        <v>19</v>
      </c>
      <c r="F225" s="1" t="s">
        <v>954</v>
      </c>
      <c r="G225" s="1" t="s">
        <v>45</v>
      </c>
      <c r="H225" s="1" t="s">
        <v>17</v>
      </c>
      <c r="I225" s="1" t="s">
        <v>18</v>
      </c>
      <c r="J225" s="1">
        <v>20</v>
      </c>
      <c r="K225" s="1" t="s">
        <v>25</v>
      </c>
      <c r="L225" s="3">
        <v>106129</v>
      </c>
      <c r="M225" s="3">
        <v>53064.5</v>
      </c>
      <c r="N225" s="1" t="s">
        <v>29</v>
      </c>
      <c r="O225" s="5" t="str" cm="1">
        <f t="array" ref="O225">_xlfn.IFS(Table1[[#This Row],[Age]]&lt;25,"Young",Table1[[#This Row],[Age]]&lt;45,"Adult",Table1[[#This Row],[Age]]&gt;=45,"Old")</f>
        <v>Adult</v>
      </c>
    </row>
    <row r="226" spans="1:15" x14ac:dyDescent="0.25">
      <c r="A226" s="1">
        <v>11514</v>
      </c>
      <c r="B226" s="1" t="s">
        <v>93</v>
      </c>
      <c r="C226" s="1" t="s">
        <v>326</v>
      </c>
      <c r="D226" s="1">
        <v>28</v>
      </c>
      <c r="E226" s="1">
        <v>3</v>
      </c>
      <c r="F226" s="1" t="s">
        <v>953</v>
      </c>
      <c r="G226" s="1" t="s">
        <v>23</v>
      </c>
      <c r="H226" s="1" t="s">
        <v>32</v>
      </c>
      <c r="I226" s="1" t="s">
        <v>18</v>
      </c>
      <c r="J226" s="1">
        <v>40</v>
      </c>
      <c r="K226" s="1" t="s">
        <v>25</v>
      </c>
      <c r="L226" s="3">
        <v>122000</v>
      </c>
      <c r="M226" s="3">
        <v>122000</v>
      </c>
      <c r="N226" s="1" t="s">
        <v>26</v>
      </c>
      <c r="O226" s="5" t="str" cm="1">
        <f t="array" ref="O226">_xlfn.IFS(Table1[[#This Row],[Age]]&lt;25,"Young",Table1[[#This Row],[Age]]&lt;45,"Adult",Table1[[#This Row],[Age]]&gt;=45,"Old")</f>
        <v>Adult</v>
      </c>
    </row>
    <row r="227" spans="1:15" x14ac:dyDescent="0.25">
      <c r="A227" s="1">
        <v>3008</v>
      </c>
      <c r="B227" s="1" t="s">
        <v>383</v>
      </c>
      <c r="C227" s="1" t="s">
        <v>384</v>
      </c>
      <c r="D227" s="1">
        <v>52</v>
      </c>
      <c r="E227" s="1">
        <v>24</v>
      </c>
      <c r="F227" s="1" t="s">
        <v>954</v>
      </c>
      <c r="G227" s="1" t="s">
        <v>16</v>
      </c>
      <c r="H227" s="1" t="s">
        <v>32</v>
      </c>
      <c r="I227" s="1" t="s">
        <v>18</v>
      </c>
      <c r="J227" s="1">
        <v>40</v>
      </c>
      <c r="K227" s="1" t="s">
        <v>42</v>
      </c>
      <c r="L227" s="3">
        <v>80011</v>
      </c>
      <c r="M227" s="3">
        <v>80011</v>
      </c>
      <c r="N227" s="1" t="s">
        <v>29</v>
      </c>
      <c r="O227" s="5" t="str" cm="1">
        <f t="array" ref="O227">_xlfn.IFS(Table1[[#This Row],[Age]]&lt;25,"Young",Table1[[#This Row],[Age]]&lt;45,"Adult",Table1[[#This Row],[Age]]&gt;=45,"Old")</f>
        <v>Old</v>
      </c>
    </row>
    <row r="228" spans="1:15" x14ac:dyDescent="0.25">
      <c r="A228" s="1">
        <v>17534</v>
      </c>
      <c r="B228" s="1" t="s">
        <v>385</v>
      </c>
      <c r="C228" s="1" t="s">
        <v>386</v>
      </c>
      <c r="D228" s="1">
        <v>51</v>
      </c>
      <c r="E228" s="1">
        <v>2</v>
      </c>
      <c r="F228" s="1" t="s">
        <v>953</v>
      </c>
      <c r="G228" s="1" t="s">
        <v>23</v>
      </c>
      <c r="H228" s="1" t="s">
        <v>64</v>
      </c>
      <c r="I228" s="1" t="s">
        <v>51</v>
      </c>
      <c r="J228" s="1">
        <v>32</v>
      </c>
      <c r="K228" s="1" t="s">
        <v>52</v>
      </c>
      <c r="L228" s="3">
        <v>140400</v>
      </c>
      <c r="M228" s="3">
        <v>112320</v>
      </c>
      <c r="N228" s="1" t="s">
        <v>29</v>
      </c>
      <c r="O228" s="5" t="str" cm="1">
        <f t="array" ref="O228">_xlfn.IFS(Table1[[#This Row],[Age]]&lt;25,"Young",Table1[[#This Row],[Age]]&lt;45,"Adult",Table1[[#This Row],[Age]]&gt;=45,"Old")</f>
        <v>Old</v>
      </c>
    </row>
    <row r="229" spans="1:15" x14ac:dyDescent="0.25">
      <c r="A229" s="1">
        <v>8485</v>
      </c>
      <c r="B229" s="1" t="s">
        <v>162</v>
      </c>
      <c r="C229" s="1" t="s">
        <v>387</v>
      </c>
      <c r="D229" s="1">
        <v>54</v>
      </c>
      <c r="E229" s="1">
        <v>25</v>
      </c>
      <c r="F229" s="1" t="s">
        <v>953</v>
      </c>
      <c r="G229" s="1" t="s">
        <v>45</v>
      </c>
      <c r="H229" s="1" t="s">
        <v>32</v>
      </c>
      <c r="I229" s="1" t="s">
        <v>18</v>
      </c>
      <c r="J229" s="1">
        <v>40</v>
      </c>
      <c r="K229" s="1" t="s">
        <v>25</v>
      </c>
      <c r="L229" s="3">
        <v>106943</v>
      </c>
      <c r="M229" s="3">
        <v>133678.75</v>
      </c>
      <c r="N229" s="1" t="s">
        <v>26</v>
      </c>
      <c r="O229" s="5" t="str" cm="1">
        <f t="array" ref="O229">_xlfn.IFS(Table1[[#This Row],[Age]]&lt;25,"Young",Table1[[#This Row],[Age]]&lt;45,"Adult",Table1[[#This Row],[Age]]&gt;=45,"Old")</f>
        <v>Old</v>
      </c>
    </row>
    <row r="230" spans="1:15" x14ac:dyDescent="0.25">
      <c r="A230" s="1">
        <v>9812</v>
      </c>
      <c r="B230" s="1" t="s">
        <v>95</v>
      </c>
      <c r="C230" s="1" t="s">
        <v>388</v>
      </c>
      <c r="D230" s="1">
        <v>27</v>
      </c>
      <c r="E230" s="1">
        <v>8</v>
      </c>
      <c r="F230" s="1" t="s">
        <v>954</v>
      </c>
      <c r="G230" s="1" t="s">
        <v>23</v>
      </c>
      <c r="H230" s="1" t="s">
        <v>24</v>
      </c>
      <c r="I230" s="1" t="s">
        <v>18</v>
      </c>
      <c r="J230" s="1">
        <v>40</v>
      </c>
      <c r="K230" s="1" t="s">
        <v>37</v>
      </c>
      <c r="L230" s="3">
        <v>90887</v>
      </c>
      <c r="M230" s="3">
        <v>90887</v>
      </c>
      <c r="N230" s="1" t="s">
        <v>26</v>
      </c>
      <c r="O230" s="5" t="str" cm="1">
        <f t="array" ref="O230">_xlfn.IFS(Table1[[#This Row],[Age]]&lt;25,"Young",Table1[[#This Row],[Age]]&lt;45,"Adult",Table1[[#This Row],[Age]]&gt;=45,"Old")</f>
        <v>Adult</v>
      </c>
    </row>
    <row r="231" spans="1:15" x14ac:dyDescent="0.25">
      <c r="A231" s="1">
        <v>22608</v>
      </c>
      <c r="B231" s="1" t="s">
        <v>389</v>
      </c>
      <c r="C231" s="1" t="s">
        <v>23</v>
      </c>
      <c r="D231" s="1">
        <v>52</v>
      </c>
      <c r="E231" s="1">
        <v>6</v>
      </c>
      <c r="F231" s="1" t="s">
        <v>954</v>
      </c>
      <c r="G231" s="1" t="s">
        <v>50</v>
      </c>
      <c r="H231" s="1" t="s">
        <v>32</v>
      </c>
      <c r="I231" s="1" t="s">
        <v>18</v>
      </c>
      <c r="J231" s="1">
        <v>40</v>
      </c>
      <c r="K231" s="1" t="s">
        <v>37</v>
      </c>
      <c r="L231" s="3">
        <v>85000</v>
      </c>
      <c r="M231" s="3">
        <v>85000</v>
      </c>
      <c r="N231" s="1" t="s">
        <v>29</v>
      </c>
      <c r="O231" s="5" t="str" cm="1">
        <f t="array" ref="O231">_xlfn.IFS(Table1[[#This Row],[Age]]&lt;25,"Young",Table1[[#This Row],[Age]]&lt;45,"Adult",Table1[[#This Row],[Age]]&gt;=45,"Old")</f>
        <v>Old</v>
      </c>
    </row>
    <row r="232" spans="1:15" x14ac:dyDescent="0.25">
      <c r="A232" s="1">
        <v>16593</v>
      </c>
      <c r="B232" s="1" t="s">
        <v>390</v>
      </c>
      <c r="C232" s="1" t="s">
        <v>158</v>
      </c>
      <c r="D232" s="1">
        <v>25</v>
      </c>
      <c r="E232" s="1">
        <v>5</v>
      </c>
      <c r="F232" s="1" t="s">
        <v>954</v>
      </c>
      <c r="G232" s="1" t="s">
        <v>50</v>
      </c>
      <c r="H232" s="1" t="s">
        <v>64</v>
      </c>
      <c r="I232" s="1" t="s">
        <v>18</v>
      </c>
      <c r="J232" s="1">
        <v>32</v>
      </c>
      <c r="K232" s="1" t="s">
        <v>52</v>
      </c>
      <c r="L232" s="3">
        <v>130000</v>
      </c>
      <c r="M232" s="3">
        <v>104000</v>
      </c>
      <c r="N232" s="1" t="s">
        <v>20</v>
      </c>
      <c r="O232" s="5" t="str" cm="1">
        <f t="array" ref="O232">_xlfn.IFS(Table1[[#This Row],[Age]]&lt;25,"Young",Table1[[#This Row],[Age]]&lt;45,"Adult",Table1[[#This Row],[Age]]&gt;=45,"Old")</f>
        <v>Adult</v>
      </c>
    </row>
    <row r="233" spans="1:15" x14ac:dyDescent="0.25">
      <c r="A233" s="1">
        <v>7707</v>
      </c>
      <c r="B233" s="1" t="s">
        <v>391</v>
      </c>
      <c r="C233" s="1" t="s">
        <v>148</v>
      </c>
      <c r="D233" s="1">
        <v>52</v>
      </c>
      <c r="E233" s="1">
        <v>5</v>
      </c>
      <c r="F233" s="1" t="s">
        <v>953</v>
      </c>
      <c r="G233" s="1" t="s">
        <v>16</v>
      </c>
      <c r="H233" s="1" t="s">
        <v>192</v>
      </c>
      <c r="I233" s="1" t="s">
        <v>18</v>
      </c>
      <c r="J233" s="1">
        <v>40</v>
      </c>
      <c r="K233" s="1" t="s">
        <v>37</v>
      </c>
      <c r="L233" s="3">
        <v>107000</v>
      </c>
      <c r="M233" s="3">
        <v>107000</v>
      </c>
      <c r="N233" s="1" t="s">
        <v>29</v>
      </c>
      <c r="O233" s="5" t="str" cm="1">
        <f t="array" ref="O233">_xlfn.IFS(Table1[[#This Row],[Age]]&lt;25,"Young",Table1[[#This Row],[Age]]&lt;45,"Adult",Table1[[#This Row],[Age]]&gt;=45,"Old")</f>
        <v>Old</v>
      </c>
    </row>
    <row r="234" spans="1:15" x14ac:dyDescent="0.25">
      <c r="A234" s="1">
        <v>18356</v>
      </c>
      <c r="B234" s="1" t="s">
        <v>333</v>
      </c>
      <c r="C234" s="1" t="s">
        <v>61</v>
      </c>
      <c r="D234" s="1">
        <v>32</v>
      </c>
      <c r="E234" s="1">
        <v>7</v>
      </c>
      <c r="F234" s="1" t="s">
        <v>954</v>
      </c>
      <c r="G234" s="1" t="s">
        <v>23</v>
      </c>
      <c r="H234" s="1" t="s">
        <v>32</v>
      </c>
      <c r="I234" s="1" t="s">
        <v>18</v>
      </c>
      <c r="J234" s="1">
        <v>32</v>
      </c>
      <c r="K234" s="1" t="s">
        <v>42</v>
      </c>
      <c r="L234" s="3">
        <v>68449</v>
      </c>
      <c r="M234" s="3">
        <v>54759.199999999997</v>
      </c>
      <c r="N234" s="1" t="s">
        <v>20</v>
      </c>
      <c r="O234" s="5" t="str" cm="1">
        <f t="array" ref="O234">_xlfn.IFS(Table1[[#This Row],[Age]]&lt;25,"Young",Table1[[#This Row],[Age]]&lt;45,"Adult",Table1[[#This Row],[Age]]&gt;=45,"Old")</f>
        <v>Adult</v>
      </c>
    </row>
    <row r="235" spans="1:15" x14ac:dyDescent="0.25">
      <c r="A235" s="1">
        <v>5022</v>
      </c>
      <c r="B235" s="1" t="s">
        <v>392</v>
      </c>
      <c r="C235" s="1" t="s">
        <v>393</v>
      </c>
      <c r="D235" s="1">
        <v>39</v>
      </c>
      <c r="E235" s="1">
        <v>16</v>
      </c>
      <c r="F235" s="1" t="s">
        <v>954</v>
      </c>
      <c r="G235" s="1" t="s">
        <v>35</v>
      </c>
      <c r="H235" s="1" t="s">
        <v>32</v>
      </c>
      <c r="I235" s="1" t="s">
        <v>51</v>
      </c>
      <c r="J235" s="1">
        <v>24</v>
      </c>
      <c r="K235" s="1" t="s">
        <v>42</v>
      </c>
      <c r="L235" s="3">
        <v>68000</v>
      </c>
      <c r="M235" s="3">
        <v>40800</v>
      </c>
      <c r="N235" s="1" t="s">
        <v>26</v>
      </c>
      <c r="O235" s="5" t="str" cm="1">
        <f t="array" ref="O235">_xlfn.IFS(Table1[[#This Row],[Age]]&lt;25,"Young",Table1[[#This Row],[Age]]&lt;45,"Adult",Table1[[#This Row],[Age]]&gt;=45,"Old")</f>
        <v>Adult</v>
      </c>
    </row>
    <row r="236" spans="1:15" x14ac:dyDescent="0.25">
      <c r="A236" s="1">
        <v>19398</v>
      </c>
      <c r="B236" s="1" t="s">
        <v>394</v>
      </c>
      <c r="C236" s="1" t="s">
        <v>395</v>
      </c>
      <c r="D236" s="1">
        <v>41</v>
      </c>
      <c r="E236" s="1">
        <v>19</v>
      </c>
      <c r="F236" s="1" t="s">
        <v>953</v>
      </c>
      <c r="G236" s="1" t="s">
        <v>23</v>
      </c>
      <c r="H236" s="1" t="s">
        <v>32</v>
      </c>
      <c r="I236" s="1" t="s">
        <v>18</v>
      </c>
      <c r="J236" s="1">
        <v>40</v>
      </c>
      <c r="K236" s="1" t="s">
        <v>25</v>
      </c>
      <c r="L236" s="3">
        <v>122000</v>
      </c>
      <c r="M236" s="3">
        <v>122000</v>
      </c>
      <c r="N236" s="1" t="s">
        <v>29</v>
      </c>
      <c r="O236" s="5" t="str" cm="1">
        <f t="array" ref="O236">_xlfn.IFS(Table1[[#This Row],[Age]]&lt;25,"Young",Table1[[#This Row],[Age]]&lt;45,"Adult",Table1[[#This Row],[Age]]&gt;=45,"Old")</f>
        <v>Adult</v>
      </c>
    </row>
    <row r="237" spans="1:15" x14ac:dyDescent="0.25">
      <c r="A237" s="1">
        <v>19568</v>
      </c>
      <c r="B237" s="1" t="s">
        <v>69</v>
      </c>
      <c r="C237" s="1" t="s">
        <v>396</v>
      </c>
      <c r="D237" s="1">
        <v>60</v>
      </c>
      <c r="E237" s="1">
        <v>32</v>
      </c>
      <c r="F237" s="1" t="s">
        <v>954</v>
      </c>
      <c r="G237" s="1" t="s">
        <v>35</v>
      </c>
      <c r="H237" s="1" t="s">
        <v>32</v>
      </c>
      <c r="I237" s="1" t="s">
        <v>18</v>
      </c>
      <c r="J237" s="1">
        <v>40</v>
      </c>
      <c r="K237" s="1" t="s">
        <v>25</v>
      </c>
      <c r="L237" s="3">
        <v>108428</v>
      </c>
      <c r="M237" s="3">
        <v>108428</v>
      </c>
      <c r="N237" s="1" t="s">
        <v>29</v>
      </c>
      <c r="O237" s="5" t="str" cm="1">
        <f t="array" ref="O237">_xlfn.IFS(Table1[[#This Row],[Age]]&lt;25,"Young",Table1[[#This Row],[Age]]&lt;45,"Adult",Table1[[#This Row],[Age]]&gt;=45,"Old")</f>
        <v>Old</v>
      </c>
    </row>
    <row r="238" spans="1:15" x14ac:dyDescent="0.25">
      <c r="A238" s="1">
        <v>16175</v>
      </c>
      <c r="B238" s="1" t="s">
        <v>397</v>
      </c>
      <c r="C238" s="1" t="s">
        <v>398</v>
      </c>
      <c r="D238" s="1">
        <v>56</v>
      </c>
      <c r="E238" s="1">
        <v>34</v>
      </c>
      <c r="F238" s="1" t="s">
        <v>954</v>
      </c>
      <c r="G238" s="1" t="s">
        <v>45</v>
      </c>
      <c r="H238" s="1" t="s">
        <v>36</v>
      </c>
      <c r="I238" s="1" t="s">
        <v>18</v>
      </c>
      <c r="J238" s="1">
        <v>20</v>
      </c>
      <c r="K238" s="1" t="s">
        <v>42</v>
      </c>
      <c r="L238" s="3">
        <v>68000</v>
      </c>
      <c r="M238" s="3">
        <v>34000</v>
      </c>
      <c r="N238" s="1" t="s">
        <v>29</v>
      </c>
      <c r="O238" s="5" t="str" cm="1">
        <f t="array" ref="O238">_xlfn.IFS(Table1[[#This Row],[Age]]&lt;25,"Young",Table1[[#This Row],[Age]]&lt;45,"Adult",Table1[[#This Row],[Age]]&gt;=45,"Old")</f>
        <v>Old</v>
      </c>
    </row>
    <row r="239" spans="1:15" x14ac:dyDescent="0.25">
      <c r="A239" s="1">
        <v>8649</v>
      </c>
      <c r="B239" s="1" t="s">
        <v>399</v>
      </c>
      <c r="C239" s="1" t="s">
        <v>306</v>
      </c>
      <c r="D239" s="1">
        <v>23</v>
      </c>
      <c r="E239" s="1">
        <v>4</v>
      </c>
      <c r="F239" s="1" t="s">
        <v>953</v>
      </c>
      <c r="G239" s="1" t="s">
        <v>50</v>
      </c>
      <c r="H239" s="1" t="s">
        <v>24</v>
      </c>
      <c r="I239" s="1" t="s">
        <v>18</v>
      </c>
      <c r="J239" s="1">
        <v>40</v>
      </c>
      <c r="K239" s="1" t="s">
        <v>19</v>
      </c>
      <c r="L239" s="3">
        <v>138000</v>
      </c>
      <c r="M239" s="3">
        <v>138000</v>
      </c>
      <c r="N239" s="1" t="s">
        <v>29</v>
      </c>
      <c r="O239" s="5" t="str" cm="1">
        <f t="array" ref="O239">_xlfn.IFS(Table1[[#This Row],[Age]]&lt;25,"Young",Table1[[#This Row],[Age]]&lt;45,"Adult",Table1[[#This Row],[Age]]&gt;=45,"Old")</f>
        <v>Young</v>
      </c>
    </row>
    <row r="240" spans="1:15" x14ac:dyDescent="0.25">
      <c r="A240" s="1">
        <v>16185</v>
      </c>
      <c r="B240" s="1" t="s">
        <v>400</v>
      </c>
      <c r="C240" s="1" t="s">
        <v>401</v>
      </c>
      <c r="D240" s="1">
        <v>40</v>
      </c>
      <c r="E240" s="1">
        <v>20</v>
      </c>
      <c r="F240" s="1" t="s">
        <v>954</v>
      </c>
      <c r="G240" s="1" t="s">
        <v>50</v>
      </c>
      <c r="H240" s="1" t="s">
        <v>192</v>
      </c>
      <c r="I240" s="1" t="s">
        <v>18</v>
      </c>
      <c r="J240" s="1">
        <v>24</v>
      </c>
      <c r="K240" s="1" t="s">
        <v>37</v>
      </c>
      <c r="L240" s="3">
        <v>85000</v>
      </c>
      <c r="M240" s="3">
        <v>51000</v>
      </c>
      <c r="N240" s="1" t="s">
        <v>20</v>
      </c>
      <c r="O240" s="5" t="str" cm="1">
        <f t="array" ref="O240">_xlfn.IFS(Table1[[#This Row],[Age]]&lt;25,"Young",Table1[[#This Row],[Age]]&lt;45,"Adult",Table1[[#This Row],[Age]]&gt;=45,"Old")</f>
        <v>Adult</v>
      </c>
    </row>
    <row r="241" spans="1:15" x14ac:dyDescent="0.25">
      <c r="A241" s="1">
        <v>14025</v>
      </c>
      <c r="B241" s="1" t="s">
        <v>402</v>
      </c>
      <c r="C241" s="1" t="s">
        <v>403</v>
      </c>
      <c r="D241" s="1">
        <v>38</v>
      </c>
      <c r="E241" s="1">
        <v>10</v>
      </c>
      <c r="F241" s="1" t="s">
        <v>953</v>
      </c>
      <c r="G241" s="1" t="s">
        <v>35</v>
      </c>
      <c r="H241" s="1" t="s">
        <v>36</v>
      </c>
      <c r="I241" s="1" t="s">
        <v>18</v>
      </c>
      <c r="J241" s="1">
        <v>32</v>
      </c>
      <c r="K241" s="1" t="s">
        <v>19</v>
      </c>
      <c r="L241" s="3">
        <v>131486</v>
      </c>
      <c r="M241" s="3">
        <v>105188.8</v>
      </c>
      <c r="N241" s="1" t="s">
        <v>26</v>
      </c>
      <c r="O241" s="5" t="str" cm="1">
        <f t="array" ref="O241">_xlfn.IFS(Table1[[#This Row],[Age]]&lt;25,"Young",Table1[[#This Row],[Age]]&lt;45,"Adult",Table1[[#This Row],[Age]]&gt;=45,"Old")</f>
        <v>Adult</v>
      </c>
    </row>
    <row r="242" spans="1:15" x14ac:dyDescent="0.25">
      <c r="A242" s="1">
        <v>21286</v>
      </c>
      <c r="B242" s="1" t="s">
        <v>131</v>
      </c>
      <c r="C242" s="1" t="s">
        <v>132</v>
      </c>
      <c r="D242" s="1">
        <v>35</v>
      </c>
      <c r="E242" s="1">
        <v>11</v>
      </c>
      <c r="F242" s="1" t="s">
        <v>954</v>
      </c>
      <c r="G242" s="1" t="s">
        <v>16</v>
      </c>
      <c r="H242" s="1" t="s">
        <v>17</v>
      </c>
      <c r="I242" s="1" t="s">
        <v>18</v>
      </c>
      <c r="J242" s="1">
        <v>20</v>
      </c>
      <c r="K242" s="1" t="s">
        <v>25</v>
      </c>
      <c r="L242" s="3">
        <v>107354</v>
      </c>
      <c r="M242" s="3">
        <v>53677</v>
      </c>
      <c r="N242" s="1" t="s">
        <v>29</v>
      </c>
      <c r="O242" s="5" t="str" cm="1">
        <f t="array" ref="O242">_xlfn.IFS(Table1[[#This Row],[Age]]&lt;25,"Young",Table1[[#This Row],[Age]]&lt;45,"Adult",Table1[[#This Row],[Age]]&gt;=45,"Old")</f>
        <v>Adult</v>
      </c>
    </row>
    <row r="243" spans="1:15" x14ac:dyDescent="0.25">
      <c r="A243" s="1">
        <v>6926</v>
      </c>
      <c r="B243" s="1" t="s">
        <v>65</v>
      </c>
      <c r="C243" s="1" t="s">
        <v>404</v>
      </c>
      <c r="D243" s="1">
        <v>46</v>
      </c>
      <c r="E243" s="1">
        <v>28</v>
      </c>
      <c r="F243" s="1" t="s">
        <v>953</v>
      </c>
      <c r="G243" s="1" t="s">
        <v>23</v>
      </c>
      <c r="H243" s="1" t="s">
        <v>24</v>
      </c>
      <c r="I243" s="1" t="s">
        <v>51</v>
      </c>
      <c r="J243" s="1">
        <v>32</v>
      </c>
      <c r="K243" s="1" t="s">
        <v>19</v>
      </c>
      <c r="L243" s="3">
        <v>124200</v>
      </c>
      <c r="M243" s="3">
        <v>99360</v>
      </c>
      <c r="N243" s="1" t="s">
        <v>20</v>
      </c>
      <c r="O243" s="5" t="str" cm="1">
        <f t="array" ref="O243">_xlfn.IFS(Table1[[#This Row],[Age]]&lt;25,"Young",Table1[[#This Row],[Age]]&lt;45,"Adult",Table1[[#This Row],[Age]]&gt;=45,"Old")</f>
        <v>Old</v>
      </c>
    </row>
    <row r="244" spans="1:15" x14ac:dyDescent="0.25">
      <c r="A244" s="1">
        <v>3777</v>
      </c>
      <c r="B244" s="1" t="s">
        <v>333</v>
      </c>
      <c r="C244" s="1" t="s">
        <v>405</v>
      </c>
      <c r="D244" s="1">
        <v>39</v>
      </c>
      <c r="E244" s="1">
        <v>19</v>
      </c>
      <c r="F244" s="1" t="s">
        <v>954</v>
      </c>
      <c r="G244" s="1" t="s">
        <v>35</v>
      </c>
      <c r="H244" s="1" t="s">
        <v>36</v>
      </c>
      <c r="I244" s="1" t="s">
        <v>18</v>
      </c>
      <c r="J244" s="1">
        <v>40</v>
      </c>
      <c r="K244" s="1" t="s">
        <v>19</v>
      </c>
      <c r="L244" s="3">
        <v>115000</v>
      </c>
      <c r="M244" s="3">
        <v>115000</v>
      </c>
      <c r="N244" s="1" t="s">
        <v>29</v>
      </c>
      <c r="O244" s="5" t="str" cm="1">
        <f t="array" ref="O244">_xlfn.IFS(Table1[[#This Row],[Age]]&lt;25,"Young",Table1[[#This Row],[Age]]&lt;45,"Adult",Table1[[#This Row],[Age]]&gt;=45,"Old")</f>
        <v>Adult</v>
      </c>
    </row>
    <row r="245" spans="1:15" x14ac:dyDescent="0.25">
      <c r="A245" s="1">
        <v>3863</v>
      </c>
      <c r="B245" s="1" t="s">
        <v>406</v>
      </c>
      <c r="C245" s="1" t="s">
        <v>407</v>
      </c>
      <c r="D245" s="1">
        <v>23</v>
      </c>
      <c r="E245" s="1">
        <v>2</v>
      </c>
      <c r="F245" s="1" t="s">
        <v>953</v>
      </c>
      <c r="G245" s="1" t="s">
        <v>35</v>
      </c>
      <c r="H245" s="1" t="s">
        <v>36</v>
      </c>
      <c r="I245" s="1" t="s">
        <v>18</v>
      </c>
      <c r="J245" s="1">
        <v>40</v>
      </c>
      <c r="K245" s="1" t="s">
        <v>37</v>
      </c>
      <c r="L245" s="3">
        <v>100443</v>
      </c>
      <c r="M245" s="3">
        <v>100443</v>
      </c>
      <c r="N245" s="1" t="s">
        <v>26</v>
      </c>
      <c r="O245" s="5" t="str" cm="1">
        <f t="array" ref="O245">_xlfn.IFS(Table1[[#This Row],[Age]]&lt;25,"Young",Table1[[#This Row],[Age]]&lt;45,"Adult",Table1[[#This Row],[Age]]&gt;=45,"Old")</f>
        <v>Young</v>
      </c>
    </row>
    <row r="246" spans="1:15" x14ac:dyDescent="0.25">
      <c r="A246" s="1">
        <v>22280</v>
      </c>
      <c r="B246" s="1" t="s">
        <v>408</v>
      </c>
      <c r="C246" s="1" t="s">
        <v>62</v>
      </c>
      <c r="D246" s="1">
        <v>50</v>
      </c>
      <c r="E246" s="1">
        <v>27</v>
      </c>
      <c r="F246" s="1" t="s">
        <v>953</v>
      </c>
      <c r="G246" s="1" t="s">
        <v>16</v>
      </c>
      <c r="H246" s="1" t="s">
        <v>64</v>
      </c>
      <c r="I246" s="1" t="s">
        <v>51</v>
      </c>
      <c r="J246" s="1">
        <v>40</v>
      </c>
      <c r="K246" s="1" t="s">
        <v>52</v>
      </c>
      <c r="L246" s="3">
        <v>153810</v>
      </c>
      <c r="M246" s="3">
        <v>153810</v>
      </c>
      <c r="N246" s="1" t="s">
        <v>29</v>
      </c>
      <c r="O246" s="5" t="str" cm="1">
        <f t="array" ref="O246">_xlfn.IFS(Table1[[#This Row],[Age]]&lt;25,"Young",Table1[[#This Row],[Age]]&lt;45,"Adult",Table1[[#This Row],[Age]]&gt;=45,"Old")</f>
        <v>Old</v>
      </c>
    </row>
    <row r="247" spans="1:15" x14ac:dyDescent="0.25">
      <c r="A247" s="1">
        <v>14811</v>
      </c>
      <c r="B247" s="1" t="s">
        <v>409</v>
      </c>
      <c r="C247" s="1" t="s">
        <v>116</v>
      </c>
      <c r="D247" s="1">
        <v>64</v>
      </c>
      <c r="E247" s="1">
        <v>8</v>
      </c>
      <c r="F247" s="1" t="s">
        <v>954</v>
      </c>
      <c r="G247" s="1" t="s">
        <v>50</v>
      </c>
      <c r="H247" s="1" t="s">
        <v>17</v>
      </c>
      <c r="I247" s="1" t="s">
        <v>51</v>
      </c>
      <c r="J247" s="1">
        <v>24</v>
      </c>
      <c r="K247" s="1" t="s">
        <v>25</v>
      </c>
      <c r="L247" s="3">
        <v>98000</v>
      </c>
      <c r="M247" s="3">
        <v>58800</v>
      </c>
      <c r="N247" s="1" t="s">
        <v>20</v>
      </c>
      <c r="O247" s="5" t="str" cm="1">
        <f t="array" ref="O247">_xlfn.IFS(Table1[[#This Row],[Age]]&lt;25,"Young",Table1[[#This Row],[Age]]&lt;45,"Adult",Table1[[#This Row],[Age]]&gt;=45,"Old")</f>
        <v>Old</v>
      </c>
    </row>
    <row r="248" spans="1:15" x14ac:dyDescent="0.25">
      <c r="A248" s="1">
        <v>12296</v>
      </c>
      <c r="B248" s="1" t="s">
        <v>363</v>
      </c>
      <c r="C248" s="1" t="s">
        <v>410</v>
      </c>
      <c r="D248" s="1">
        <v>36</v>
      </c>
      <c r="E248" s="1">
        <v>18</v>
      </c>
      <c r="F248" s="1" t="s">
        <v>953</v>
      </c>
      <c r="G248" s="1" t="s">
        <v>16</v>
      </c>
      <c r="H248" s="1" t="s">
        <v>64</v>
      </c>
      <c r="I248" s="1" t="s">
        <v>18</v>
      </c>
      <c r="J248" s="1">
        <v>40</v>
      </c>
      <c r="K248" s="1" t="s">
        <v>19</v>
      </c>
      <c r="L248" s="3">
        <v>127620</v>
      </c>
      <c r="M248" s="3">
        <v>127620</v>
      </c>
      <c r="N248" s="1" t="s">
        <v>20</v>
      </c>
      <c r="O248" s="5" t="str" cm="1">
        <f t="array" ref="O248">_xlfn.IFS(Table1[[#This Row],[Age]]&lt;25,"Young",Table1[[#This Row],[Age]]&lt;45,"Adult",Table1[[#This Row],[Age]]&gt;=45,"Old")</f>
        <v>Adult</v>
      </c>
    </row>
    <row r="249" spans="1:15" x14ac:dyDescent="0.25">
      <c r="A249" s="1">
        <v>14566</v>
      </c>
      <c r="B249" s="1" t="s">
        <v>391</v>
      </c>
      <c r="C249" s="1" t="s">
        <v>405</v>
      </c>
      <c r="D249" s="1">
        <v>43</v>
      </c>
      <c r="E249" s="1">
        <v>12</v>
      </c>
      <c r="F249" s="1" t="s">
        <v>953</v>
      </c>
      <c r="G249" s="1" t="s">
        <v>16</v>
      </c>
      <c r="H249" s="1" t="s">
        <v>32</v>
      </c>
      <c r="I249" s="1" t="s">
        <v>18</v>
      </c>
      <c r="J249" s="1">
        <v>40</v>
      </c>
      <c r="K249" s="1" t="s">
        <v>42</v>
      </c>
      <c r="L249" s="3">
        <v>75079</v>
      </c>
      <c r="M249" s="3">
        <v>75079</v>
      </c>
      <c r="N249" s="1" t="s">
        <v>20</v>
      </c>
      <c r="O249" s="5" t="str" cm="1">
        <f t="array" ref="O249">_xlfn.IFS(Table1[[#This Row],[Age]]&lt;25,"Young",Table1[[#This Row],[Age]]&lt;45,"Adult",Table1[[#This Row],[Age]]&gt;=45,"Old")</f>
        <v>Adult</v>
      </c>
    </row>
    <row r="250" spans="1:15" x14ac:dyDescent="0.25">
      <c r="A250" s="1">
        <v>14157</v>
      </c>
      <c r="B250" s="1" t="s">
        <v>361</v>
      </c>
      <c r="C250" s="1" t="s">
        <v>128</v>
      </c>
      <c r="D250" s="1">
        <v>59</v>
      </c>
      <c r="E250" s="1">
        <v>18</v>
      </c>
      <c r="F250" s="1" t="s">
        <v>954</v>
      </c>
      <c r="G250" s="1" t="s">
        <v>16</v>
      </c>
      <c r="H250" s="1" t="s">
        <v>36</v>
      </c>
      <c r="I250" s="1" t="s">
        <v>18</v>
      </c>
      <c r="J250" s="1">
        <v>40</v>
      </c>
      <c r="K250" s="1" t="s">
        <v>42</v>
      </c>
      <c r="L250" s="3">
        <v>68000</v>
      </c>
      <c r="M250" s="3">
        <v>68000</v>
      </c>
      <c r="N250" s="1" t="s">
        <v>20</v>
      </c>
      <c r="O250" s="5" t="str" cm="1">
        <f t="array" ref="O250">_xlfn.IFS(Table1[[#This Row],[Age]]&lt;25,"Young",Table1[[#This Row],[Age]]&lt;45,"Adult",Table1[[#This Row],[Age]]&gt;=45,"Old")</f>
        <v>Old</v>
      </c>
    </row>
    <row r="251" spans="1:15" x14ac:dyDescent="0.25">
      <c r="A251" s="1">
        <v>15990</v>
      </c>
      <c r="B251" s="1" t="s">
        <v>333</v>
      </c>
      <c r="C251" s="1" t="s">
        <v>411</v>
      </c>
      <c r="D251" s="1">
        <v>58</v>
      </c>
      <c r="E251" s="1">
        <v>5</v>
      </c>
      <c r="F251" s="1" t="s">
        <v>954</v>
      </c>
      <c r="G251" s="1" t="s">
        <v>23</v>
      </c>
      <c r="H251" s="1" t="s">
        <v>36</v>
      </c>
      <c r="I251" s="1" t="s">
        <v>18</v>
      </c>
      <c r="J251" s="1">
        <v>32</v>
      </c>
      <c r="K251" s="1" t="s">
        <v>25</v>
      </c>
      <c r="L251" s="3">
        <v>98000</v>
      </c>
      <c r="M251" s="3">
        <v>78400</v>
      </c>
      <c r="N251" s="1" t="s">
        <v>20</v>
      </c>
      <c r="O251" s="5" t="str" cm="1">
        <f t="array" ref="O251">_xlfn.IFS(Table1[[#This Row],[Age]]&lt;25,"Young",Table1[[#This Row],[Age]]&lt;45,"Adult",Table1[[#This Row],[Age]]&gt;=45,"Old")</f>
        <v>Old</v>
      </c>
    </row>
    <row r="252" spans="1:15" x14ac:dyDescent="0.25">
      <c r="A252" s="1">
        <v>2462</v>
      </c>
      <c r="B252" s="1" t="s">
        <v>412</v>
      </c>
      <c r="C252" s="1" t="s">
        <v>413</v>
      </c>
      <c r="D252" s="1">
        <v>26</v>
      </c>
      <c r="E252" s="1">
        <v>2</v>
      </c>
      <c r="F252" s="1" t="s">
        <v>954</v>
      </c>
      <c r="G252" s="1" t="s">
        <v>50</v>
      </c>
      <c r="H252" s="1" t="s">
        <v>32</v>
      </c>
      <c r="I252" s="1" t="s">
        <v>18</v>
      </c>
      <c r="J252" s="1">
        <v>20</v>
      </c>
      <c r="K252" s="1" t="s">
        <v>37</v>
      </c>
      <c r="L252" s="3">
        <v>85000</v>
      </c>
      <c r="M252" s="3">
        <v>42500</v>
      </c>
      <c r="N252" s="1" t="s">
        <v>29</v>
      </c>
      <c r="O252" s="5" t="str" cm="1">
        <f t="array" ref="O252">_xlfn.IFS(Table1[[#This Row],[Age]]&lt;25,"Young",Table1[[#This Row],[Age]]&lt;45,"Adult",Table1[[#This Row],[Age]]&gt;=45,"Old")</f>
        <v>Adult</v>
      </c>
    </row>
    <row r="253" spans="1:15" x14ac:dyDescent="0.25">
      <c r="A253" s="1">
        <v>22099</v>
      </c>
      <c r="B253" s="1" t="s">
        <v>414</v>
      </c>
      <c r="C253" s="1" t="s">
        <v>415</v>
      </c>
      <c r="D253" s="1">
        <v>59</v>
      </c>
      <c r="E253" s="1">
        <v>27</v>
      </c>
      <c r="F253" s="1" t="s">
        <v>953</v>
      </c>
      <c r="G253" s="1" t="s">
        <v>45</v>
      </c>
      <c r="H253" s="1" t="s">
        <v>32</v>
      </c>
      <c r="I253" s="1" t="s">
        <v>18</v>
      </c>
      <c r="J253" s="1">
        <v>40</v>
      </c>
      <c r="K253" s="1" t="s">
        <v>25</v>
      </c>
      <c r="L253" s="3">
        <v>114544</v>
      </c>
      <c r="M253" s="3">
        <v>114544</v>
      </c>
      <c r="N253" s="1" t="s">
        <v>26</v>
      </c>
      <c r="O253" s="5" t="str" cm="1">
        <f t="array" ref="O253">_xlfn.IFS(Table1[[#This Row],[Age]]&lt;25,"Young",Table1[[#This Row],[Age]]&lt;45,"Adult",Table1[[#This Row],[Age]]&gt;=45,"Old")</f>
        <v>Old</v>
      </c>
    </row>
    <row r="254" spans="1:15" x14ac:dyDescent="0.25">
      <c r="A254" s="1">
        <v>21861</v>
      </c>
      <c r="B254" s="1" t="s">
        <v>416</v>
      </c>
      <c r="C254" s="1" t="s">
        <v>417</v>
      </c>
      <c r="D254" s="1">
        <v>30</v>
      </c>
      <c r="E254" s="1">
        <v>5</v>
      </c>
      <c r="F254" s="1" t="s">
        <v>953</v>
      </c>
      <c r="G254" s="1" t="s">
        <v>16</v>
      </c>
      <c r="H254" s="1" t="s">
        <v>24</v>
      </c>
      <c r="I254" s="1" t="s">
        <v>18</v>
      </c>
      <c r="J254" s="1">
        <v>20</v>
      </c>
      <c r="K254" s="1" t="s">
        <v>25</v>
      </c>
      <c r="L254" s="3">
        <v>108320</v>
      </c>
      <c r="M254" s="3">
        <v>54160</v>
      </c>
      <c r="N254" s="1" t="s">
        <v>29</v>
      </c>
      <c r="O254" s="5" t="str" cm="1">
        <f t="array" ref="O254">_xlfn.IFS(Table1[[#This Row],[Age]]&lt;25,"Young",Table1[[#This Row],[Age]]&lt;45,"Adult",Table1[[#This Row],[Age]]&gt;=45,"Old")</f>
        <v>Adult</v>
      </c>
    </row>
    <row r="255" spans="1:15" x14ac:dyDescent="0.25">
      <c r="A255" s="1">
        <v>3911</v>
      </c>
      <c r="B255" s="1" t="s">
        <v>254</v>
      </c>
      <c r="C255" s="1" t="s">
        <v>418</v>
      </c>
      <c r="D255" s="1">
        <v>37</v>
      </c>
      <c r="E255" s="1">
        <v>18</v>
      </c>
      <c r="F255" s="1" t="s">
        <v>954</v>
      </c>
      <c r="G255" s="1" t="s">
        <v>23</v>
      </c>
      <c r="H255" s="1" t="s">
        <v>24</v>
      </c>
      <c r="I255" s="1" t="s">
        <v>18</v>
      </c>
      <c r="J255" s="1">
        <v>24</v>
      </c>
      <c r="K255" s="1" t="s">
        <v>52</v>
      </c>
      <c r="L255" s="3">
        <v>130000</v>
      </c>
      <c r="M255" s="3">
        <v>78000</v>
      </c>
      <c r="N255" s="1" t="s">
        <v>20</v>
      </c>
      <c r="O255" s="5" t="str" cm="1">
        <f t="array" ref="O255">_xlfn.IFS(Table1[[#This Row],[Age]]&lt;25,"Young",Table1[[#This Row],[Age]]&lt;45,"Adult",Table1[[#This Row],[Age]]&gt;=45,"Old")</f>
        <v>Adult</v>
      </c>
    </row>
    <row r="256" spans="1:15" x14ac:dyDescent="0.25">
      <c r="A256" s="1">
        <v>2673</v>
      </c>
      <c r="B256" s="1" t="s">
        <v>419</v>
      </c>
      <c r="C256" s="1" t="s">
        <v>420</v>
      </c>
      <c r="D256" s="1">
        <v>31</v>
      </c>
      <c r="E256" s="1">
        <v>4</v>
      </c>
      <c r="F256" s="1" t="s">
        <v>953</v>
      </c>
      <c r="G256" s="1" t="s">
        <v>45</v>
      </c>
      <c r="H256" s="1" t="s">
        <v>36</v>
      </c>
      <c r="I256" s="1" t="s">
        <v>18</v>
      </c>
      <c r="J256" s="1">
        <v>40</v>
      </c>
      <c r="K256" s="1" t="s">
        <v>37</v>
      </c>
      <c r="L256" s="3">
        <v>93549</v>
      </c>
      <c r="M256" s="3">
        <v>93549</v>
      </c>
      <c r="N256" s="1" t="s">
        <v>29</v>
      </c>
      <c r="O256" s="5" t="str" cm="1">
        <f t="array" ref="O256">_xlfn.IFS(Table1[[#This Row],[Age]]&lt;25,"Young",Table1[[#This Row],[Age]]&lt;45,"Adult",Table1[[#This Row],[Age]]&gt;=45,"Old")</f>
        <v>Adult</v>
      </c>
    </row>
    <row r="257" spans="1:15" x14ac:dyDescent="0.25">
      <c r="A257" s="1">
        <v>13880</v>
      </c>
      <c r="B257" s="1" t="s">
        <v>421</v>
      </c>
      <c r="C257" s="1" t="s">
        <v>422</v>
      </c>
      <c r="D257" s="1">
        <v>36</v>
      </c>
      <c r="E257" s="1">
        <v>3</v>
      </c>
      <c r="F257" s="1" t="s">
        <v>954</v>
      </c>
      <c r="G257" s="1" t="s">
        <v>16</v>
      </c>
      <c r="H257" s="1" t="s">
        <v>36</v>
      </c>
      <c r="I257" s="1" t="s">
        <v>51</v>
      </c>
      <c r="J257" s="1">
        <v>32</v>
      </c>
      <c r="K257" s="1" t="s">
        <v>52</v>
      </c>
      <c r="L257" s="3">
        <v>130000</v>
      </c>
      <c r="M257" s="3">
        <v>104000</v>
      </c>
      <c r="N257" s="1" t="s">
        <v>20</v>
      </c>
      <c r="O257" s="5" t="str" cm="1">
        <f t="array" ref="O257">_xlfn.IFS(Table1[[#This Row],[Age]]&lt;25,"Young",Table1[[#This Row],[Age]]&lt;45,"Adult",Table1[[#This Row],[Age]]&gt;=45,"Old")</f>
        <v>Adult</v>
      </c>
    </row>
    <row r="258" spans="1:15" x14ac:dyDescent="0.25">
      <c r="A258" s="1">
        <v>11805</v>
      </c>
      <c r="B258" s="1" t="s">
        <v>377</v>
      </c>
      <c r="C258" s="1" t="s">
        <v>71</v>
      </c>
      <c r="D258" s="1">
        <v>35</v>
      </c>
      <c r="E258" s="1">
        <v>16</v>
      </c>
      <c r="F258" s="1" t="s">
        <v>953</v>
      </c>
      <c r="G258" s="1" t="s">
        <v>23</v>
      </c>
      <c r="H258" s="1" t="s">
        <v>32</v>
      </c>
      <c r="I258" s="1" t="s">
        <v>18</v>
      </c>
      <c r="J258" s="1">
        <v>40</v>
      </c>
      <c r="K258" s="1" t="s">
        <v>25</v>
      </c>
      <c r="L258" s="3">
        <v>118223</v>
      </c>
      <c r="M258" s="3">
        <v>118223</v>
      </c>
      <c r="N258" s="1" t="s">
        <v>26</v>
      </c>
      <c r="O258" s="5" t="str" cm="1">
        <f t="array" ref="O258">_xlfn.IFS(Table1[[#This Row],[Age]]&lt;25,"Young",Table1[[#This Row],[Age]]&lt;45,"Adult",Table1[[#This Row],[Age]]&gt;=45,"Old")</f>
        <v>Adult</v>
      </c>
    </row>
    <row r="259" spans="1:15" x14ac:dyDescent="0.25">
      <c r="A259" s="1">
        <v>4267</v>
      </c>
      <c r="B259" s="1" t="s">
        <v>423</v>
      </c>
      <c r="C259" s="1" t="s">
        <v>424</v>
      </c>
      <c r="D259" s="1">
        <v>56</v>
      </c>
      <c r="E259" s="1">
        <v>7</v>
      </c>
      <c r="F259" s="1" t="s">
        <v>954</v>
      </c>
      <c r="G259" s="1" t="s">
        <v>16</v>
      </c>
      <c r="H259" s="1" t="s">
        <v>24</v>
      </c>
      <c r="I259" s="1" t="s">
        <v>18</v>
      </c>
      <c r="J259" s="1">
        <v>20</v>
      </c>
      <c r="K259" s="1" t="s">
        <v>25</v>
      </c>
      <c r="L259" s="3">
        <v>104930</v>
      </c>
      <c r="M259" s="3">
        <v>52465</v>
      </c>
      <c r="N259" s="1" t="s">
        <v>29</v>
      </c>
      <c r="O259" s="5" t="str" cm="1">
        <f t="array" ref="O259">_xlfn.IFS(Table1[[#This Row],[Age]]&lt;25,"Young",Table1[[#This Row],[Age]]&lt;45,"Adult",Table1[[#This Row],[Age]]&gt;=45,"Old")</f>
        <v>Old</v>
      </c>
    </row>
    <row r="260" spans="1:15" x14ac:dyDescent="0.25">
      <c r="A260" s="1">
        <v>8834</v>
      </c>
      <c r="B260" s="1" t="s">
        <v>425</v>
      </c>
      <c r="C260" s="1" t="s">
        <v>426</v>
      </c>
      <c r="D260" s="1">
        <v>38</v>
      </c>
      <c r="E260" s="1">
        <v>9</v>
      </c>
      <c r="F260" s="1" t="s">
        <v>953</v>
      </c>
      <c r="G260" s="1" t="s">
        <v>45</v>
      </c>
      <c r="H260" s="1" t="s">
        <v>32</v>
      </c>
      <c r="I260" s="1" t="s">
        <v>18</v>
      </c>
      <c r="J260" s="1">
        <v>40</v>
      </c>
      <c r="K260" s="1" t="s">
        <v>37</v>
      </c>
      <c r="L260" s="3">
        <v>95119</v>
      </c>
      <c r="M260" s="3">
        <v>95119</v>
      </c>
      <c r="N260" s="1" t="s">
        <v>29</v>
      </c>
      <c r="O260" s="5" t="str" cm="1">
        <f t="array" ref="O260">_xlfn.IFS(Table1[[#This Row],[Age]]&lt;25,"Young",Table1[[#This Row],[Age]]&lt;45,"Adult",Table1[[#This Row],[Age]]&gt;=45,"Old")</f>
        <v>Adult</v>
      </c>
    </row>
    <row r="261" spans="1:15" x14ac:dyDescent="0.25">
      <c r="A261" s="1">
        <v>6965</v>
      </c>
      <c r="B261" s="1" t="s">
        <v>65</v>
      </c>
      <c r="C261" s="1" t="s">
        <v>427</v>
      </c>
      <c r="D261" s="1">
        <v>28</v>
      </c>
      <c r="E261" s="1">
        <v>5</v>
      </c>
      <c r="F261" s="1" t="s">
        <v>953</v>
      </c>
      <c r="G261" s="1" t="s">
        <v>50</v>
      </c>
      <c r="H261" s="1" t="s">
        <v>36</v>
      </c>
      <c r="I261" s="1" t="s">
        <v>18</v>
      </c>
      <c r="J261" s="1">
        <v>16</v>
      </c>
      <c r="K261" s="1" t="s">
        <v>42</v>
      </c>
      <c r="L261" s="3">
        <v>73440</v>
      </c>
      <c r="M261" s="3">
        <v>29376</v>
      </c>
      <c r="N261" s="1" t="s">
        <v>20</v>
      </c>
      <c r="O261" s="5" t="str" cm="1">
        <f t="array" ref="O261">_xlfn.IFS(Table1[[#This Row],[Age]]&lt;25,"Young",Table1[[#This Row],[Age]]&lt;45,"Adult",Table1[[#This Row],[Age]]&gt;=45,"Old")</f>
        <v>Adult</v>
      </c>
    </row>
    <row r="262" spans="1:15" x14ac:dyDescent="0.25">
      <c r="A262" s="1">
        <v>6919</v>
      </c>
      <c r="B262" s="1" t="s">
        <v>428</v>
      </c>
      <c r="C262" s="1" t="s">
        <v>429</v>
      </c>
      <c r="D262" s="1">
        <v>55</v>
      </c>
      <c r="E262" s="1">
        <v>25</v>
      </c>
      <c r="F262" s="1" t="s">
        <v>954</v>
      </c>
      <c r="G262" s="1" t="s">
        <v>45</v>
      </c>
      <c r="H262" s="1" t="s">
        <v>119</v>
      </c>
      <c r="I262" s="1" t="s">
        <v>51</v>
      </c>
      <c r="J262" s="1">
        <v>16</v>
      </c>
      <c r="K262" s="1" t="s">
        <v>52</v>
      </c>
      <c r="L262" s="3">
        <v>130000</v>
      </c>
      <c r="M262" s="3">
        <v>65000</v>
      </c>
      <c r="N262" s="1" t="s">
        <v>20</v>
      </c>
      <c r="O262" s="5" t="str" cm="1">
        <f t="array" ref="O262">_xlfn.IFS(Table1[[#This Row],[Age]]&lt;25,"Young",Table1[[#This Row],[Age]]&lt;45,"Adult",Table1[[#This Row],[Age]]&gt;=45,"Old")</f>
        <v>Old</v>
      </c>
    </row>
    <row r="263" spans="1:15" x14ac:dyDescent="0.25">
      <c r="A263" s="1">
        <v>18260</v>
      </c>
      <c r="B263" s="1" t="s">
        <v>430</v>
      </c>
      <c r="C263" s="1" t="s">
        <v>49</v>
      </c>
      <c r="D263" s="1">
        <v>51</v>
      </c>
      <c r="E263" s="1">
        <v>5</v>
      </c>
      <c r="F263" s="1" t="s">
        <v>953</v>
      </c>
      <c r="G263" s="1" t="s">
        <v>23</v>
      </c>
      <c r="H263" s="1" t="s">
        <v>32</v>
      </c>
      <c r="I263" s="1" t="s">
        <v>18</v>
      </c>
      <c r="J263" s="1">
        <v>40</v>
      </c>
      <c r="K263" s="1" t="s">
        <v>25</v>
      </c>
      <c r="L263" s="3">
        <v>122000</v>
      </c>
      <c r="M263" s="3">
        <v>122000</v>
      </c>
      <c r="N263" s="1" t="s">
        <v>29</v>
      </c>
      <c r="O263" s="5" t="str" cm="1">
        <f t="array" ref="O263">_xlfn.IFS(Table1[[#This Row],[Age]]&lt;25,"Young",Table1[[#This Row],[Age]]&lt;45,"Adult",Table1[[#This Row],[Age]]&gt;=45,"Old")</f>
        <v>Old</v>
      </c>
    </row>
    <row r="264" spans="1:15" x14ac:dyDescent="0.25">
      <c r="A264" s="1">
        <v>15387</v>
      </c>
      <c r="B264" s="1" t="s">
        <v>431</v>
      </c>
      <c r="C264" s="1" t="s">
        <v>432</v>
      </c>
      <c r="D264" s="1">
        <v>41</v>
      </c>
      <c r="E264" s="1">
        <v>23</v>
      </c>
      <c r="F264" s="1" t="s">
        <v>954</v>
      </c>
      <c r="G264" s="1" t="s">
        <v>50</v>
      </c>
      <c r="H264" s="1" t="s">
        <v>32</v>
      </c>
      <c r="I264" s="1" t="s">
        <v>18</v>
      </c>
      <c r="J264" s="1">
        <v>16</v>
      </c>
      <c r="K264" s="1" t="s">
        <v>42</v>
      </c>
      <c r="L264" s="3">
        <v>68000</v>
      </c>
      <c r="M264" s="3">
        <v>27200</v>
      </c>
      <c r="N264" s="1" t="s">
        <v>20</v>
      </c>
      <c r="O264" s="5" t="str" cm="1">
        <f t="array" ref="O264">_xlfn.IFS(Table1[[#This Row],[Age]]&lt;25,"Young",Table1[[#This Row],[Age]]&lt;45,"Adult",Table1[[#This Row],[Age]]&gt;=45,"Old")</f>
        <v>Adult</v>
      </c>
    </row>
    <row r="265" spans="1:15" x14ac:dyDescent="0.25">
      <c r="A265" s="1">
        <v>5280</v>
      </c>
      <c r="B265" s="1" t="s">
        <v>91</v>
      </c>
      <c r="C265" s="1" t="s">
        <v>360</v>
      </c>
      <c r="D265" s="1">
        <v>59</v>
      </c>
      <c r="E265" s="1">
        <v>10</v>
      </c>
      <c r="F265" s="1" t="s">
        <v>954</v>
      </c>
      <c r="G265" s="1" t="s">
        <v>45</v>
      </c>
      <c r="H265" s="1" t="s">
        <v>32</v>
      </c>
      <c r="I265" s="1" t="s">
        <v>51</v>
      </c>
      <c r="J265" s="1">
        <v>16</v>
      </c>
      <c r="K265" s="1" t="s">
        <v>42</v>
      </c>
      <c r="L265" s="3">
        <v>68000</v>
      </c>
      <c r="M265" s="3">
        <v>27200</v>
      </c>
      <c r="N265" s="1" t="s">
        <v>20</v>
      </c>
      <c r="O265" s="5" t="str" cm="1">
        <f t="array" ref="O265">_xlfn.IFS(Table1[[#This Row],[Age]]&lt;25,"Young",Table1[[#This Row],[Age]]&lt;45,"Adult",Table1[[#This Row],[Age]]&gt;=45,"Old")</f>
        <v>Old</v>
      </c>
    </row>
    <row r="266" spans="1:15" x14ac:dyDescent="0.25">
      <c r="A266" s="1">
        <v>14511</v>
      </c>
      <c r="B266" s="1" t="s">
        <v>433</v>
      </c>
      <c r="C266" s="1" t="s">
        <v>402</v>
      </c>
      <c r="D266" s="1">
        <v>25</v>
      </c>
      <c r="E266" s="1">
        <v>0</v>
      </c>
      <c r="F266" s="1" t="s">
        <v>953</v>
      </c>
      <c r="G266" s="1" t="s">
        <v>50</v>
      </c>
      <c r="H266" s="1" t="s">
        <v>24</v>
      </c>
      <c r="I266" s="1" t="s">
        <v>18</v>
      </c>
      <c r="J266" s="1">
        <v>32</v>
      </c>
      <c r="K266" s="1" t="s">
        <v>52</v>
      </c>
      <c r="L266" s="3">
        <v>140400</v>
      </c>
      <c r="M266" s="3">
        <v>112320</v>
      </c>
      <c r="N266" s="1" t="s">
        <v>29</v>
      </c>
      <c r="O266" s="5" t="str" cm="1">
        <f t="array" ref="O266">_xlfn.IFS(Table1[[#This Row],[Age]]&lt;25,"Young",Table1[[#This Row],[Age]]&lt;45,"Adult",Table1[[#This Row],[Age]]&gt;=45,"Old")</f>
        <v>Adult</v>
      </c>
    </row>
    <row r="267" spans="1:15" x14ac:dyDescent="0.25">
      <c r="A267" s="1">
        <v>6699</v>
      </c>
      <c r="B267" s="1" t="s">
        <v>430</v>
      </c>
      <c r="C267" s="1" t="s">
        <v>434</v>
      </c>
      <c r="D267" s="1">
        <v>34</v>
      </c>
      <c r="E267" s="1">
        <v>15</v>
      </c>
      <c r="F267" s="1" t="s">
        <v>953</v>
      </c>
      <c r="G267" s="1" t="s">
        <v>45</v>
      </c>
      <c r="H267" s="1" t="s">
        <v>64</v>
      </c>
      <c r="I267" s="1" t="s">
        <v>18</v>
      </c>
      <c r="J267" s="1">
        <v>8</v>
      </c>
      <c r="K267" s="1" t="s">
        <v>19</v>
      </c>
      <c r="L267" s="3">
        <v>124200</v>
      </c>
      <c r="M267" s="3">
        <v>24840</v>
      </c>
      <c r="N267" s="1" t="s">
        <v>29</v>
      </c>
      <c r="O267" s="5" t="str" cm="1">
        <f t="array" ref="O267">_xlfn.IFS(Table1[[#This Row],[Age]]&lt;25,"Young",Table1[[#This Row],[Age]]&lt;45,"Adult",Table1[[#This Row],[Age]]&gt;=45,"Old")</f>
        <v>Adult</v>
      </c>
    </row>
    <row r="268" spans="1:15" x14ac:dyDescent="0.25">
      <c r="A268" s="1">
        <v>9814</v>
      </c>
      <c r="B268" s="1" t="s">
        <v>357</v>
      </c>
      <c r="C268" s="1" t="s">
        <v>435</v>
      </c>
      <c r="D268" s="1">
        <v>42</v>
      </c>
      <c r="E268" s="1">
        <v>6</v>
      </c>
      <c r="F268" s="1" t="s">
        <v>953</v>
      </c>
      <c r="G268" s="1" t="s">
        <v>23</v>
      </c>
      <c r="H268" s="1" t="s">
        <v>17</v>
      </c>
      <c r="I268" s="1" t="s">
        <v>18</v>
      </c>
      <c r="J268" s="1">
        <v>32</v>
      </c>
      <c r="K268" s="1" t="s">
        <v>52</v>
      </c>
      <c r="L268" s="3">
        <v>140400</v>
      </c>
      <c r="M268" s="3">
        <v>112320</v>
      </c>
      <c r="N268" s="1" t="s">
        <v>29</v>
      </c>
      <c r="O268" s="5" t="str" cm="1">
        <f t="array" ref="O268">_xlfn.IFS(Table1[[#This Row],[Age]]&lt;25,"Young",Table1[[#This Row],[Age]]&lt;45,"Adult",Table1[[#This Row],[Age]]&gt;=45,"Old")</f>
        <v>Adult</v>
      </c>
    </row>
    <row r="269" spans="1:15" x14ac:dyDescent="0.25">
      <c r="A269" s="1">
        <v>15846</v>
      </c>
      <c r="B269" s="1" t="s">
        <v>436</v>
      </c>
      <c r="C269" s="1" t="s">
        <v>437</v>
      </c>
      <c r="D269" s="1">
        <v>59</v>
      </c>
      <c r="E269" s="1">
        <v>28</v>
      </c>
      <c r="F269" s="1" t="s">
        <v>953</v>
      </c>
      <c r="G269" s="1" t="s">
        <v>45</v>
      </c>
      <c r="H269" s="1" t="s">
        <v>32</v>
      </c>
      <c r="I269" s="1" t="s">
        <v>18</v>
      </c>
      <c r="J269" s="1">
        <v>40</v>
      </c>
      <c r="K269" s="1" t="s">
        <v>25</v>
      </c>
      <c r="L269" s="3">
        <v>115009</v>
      </c>
      <c r="M269" s="3">
        <v>115009</v>
      </c>
      <c r="N269" s="1" t="s">
        <v>26</v>
      </c>
      <c r="O269" s="5" t="str" cm="1">
        <f t="array" ref="O269">_xlfn.IFS(Table1[[#This Row],[Age]]&lt;25,"Young",Table1[[#This Row],[Age]]&lt;45,"Adult",Table1[[#This Row],[Age]]&gt;=45,"Old")</f>
        <v>Old</v>
      </c>
    </row>
    <row r="270" spans="1:15" x14ac:dyDescent="0.25">
      <c r="A270" s="1">
        <v>8872</v>
      </c>
      <c r="B270" s="1" t="s">
        <v>438</v>
      </c>
      <c r="C270" s="1" t="s">
        <v>439</v>
      </c>
      <c r="D270" s="1">
        <v>42</v>
      </c>
      <c r="E270" s="1">
        <v>13</v>
      </c>
      <c r="F270" s="1" t="s">
        <v>954</v>
      </c>
      <c r="G270" s="1" t="s">
        <v>23</v>
      </c>
      <c r="H270" s="1" t="s">
        <v>17</v>
      </c>
      <c r="I270" s="1" t="s">
        <v>18</v>
      </c>
      <c r="J270" s="1">
        <v>20</v>
      </c>
      <c r="K270" s="1" t="s">
        <v>52</v>
      </c>
      <c r="L270" s="3">
        <v>130000</v>
      </c>
      <c r="M270" s="3">
        <v>65000</v>
      </c>
      <c r="N270" s="1" t="s">
        <v>20</v>
      </c>
      <c r="O270" s="5" t="str" cm="1">
        <f t="array" ref="O270">_xlfn.IFS(Table1[[#This Row],[Age]]&lt;25,"Young",Table1[[#This Row],[Age]]&lt;45,"Adult",Table1[[#This Row],[Age]]&gt;=45,"Old")</f>
        <v>Adult</v>
      </c>
    </row>
    <row r="271" spans="1:15" x14ac:dyDescent="0.25">
      <c r="A271" s="1">
        <v>3157</v>
      </c>
      <c r="B271" s="1" t="s">
        <v>440</v>
      </c>
      <c r="C271" s="1" t="s">
        <v>202</v>
      </c>
      <c r="D271" s="1">
        <v>44</v>
      </c>
      <c r="E271" s="1">
        <v>17</v>
      </c>
      <c r="F271" s="1" t="s">
        <v>954</v>
      </c>
      <c r="G271" s="1" t="s">
        <v>23</v>
      </c>
      <c r="H271" s="1" t="s">
        <v>17</v>
      </c>
      <c r="I271" s="1" t="s">
        <v>18</v>
      </c>
      <c r="J271" s="1">
        <v>20</v>
      </c>
      <c r="K271" s="1" t="s">
        <v>19</v>
      </c>
      <c r="L271" s="3">
        <v>115000</v>
      </c>
      <c r="M271" s="3">
        <v>57500</v>
      </c>
      <c r="N271" s="1" t="s">
        <v>20</v>
      </c>
      <c r="O271" s="5" t="str" cm="1">
        <f t="array" ref="O271">_xlfn.IFS(Table1[[#This Row],[Age]]&lt;25,"Young",Table1[[#This Row],[Age]]&lt;45,"Adult",Table1[[#This Row],[Age]]&gt;=45,"Old")</f>
        <v>Adult</v>
      </c>
    </row>
    <row r="272" spans="1:15" x14ac:dyDescent="0.25">
      <c r="A272" s="1">
        <v>15207</v>
      </c>
      <c r="B272" s="1" t="s">
        <v>441</v>
      </c>
      <c r="C272" s="1" t="s">
        <v>128</v>
      </c>
      <c r="D272" s="1">
        <v>36</v>
      </c>
      <c r="E272" s="1">
        <v>8</v>
      </c>
      <c r="F272" s="1" t="s">
        <v>953</v>
      </c>
      <c r="G272" s="1" t="s">
        <v>45</v>
      </c>
      <c r="H272" s="1" t="s">
        <v>32</v>
      </c>
      <c r="I272" s="1" t="s">
        <v>18</v>
      </c>
      <c r="J272" s="1">
        <v>40</v>
      </c>
      <c r="K272" s="1" t="s">
        <v>25</v>
      </c>
      <c r="L272" s="3">
        <v>122000</v>
      </c>
      <c r="M272" s="3">
        <v>122000</v>
      </c>
      <c r="N272" s="1" t="s">
        <v>26</v>
      </c>
      <c r="O272" s="5" t="str" cm="1">
        <f t="array" ref="O272">_xlfn.IFS(Table1[[#This Row],[Age]]&lt;25,"Young",Table1[[#This Row],[Age]]&lt;45,"Adult",Table1[[#This Row],[Age]]&gt;=45,"Old")</f>
        <v>Adult</v>
      </c>
    </row>
    <row r="273" spans="1:15" x14ac:dyDescent="0.25">
      <c r="A273" s="1">
        <v>18720</v>
      </c>
      <c r="B273" s="1" t="s">
        <v>442</v>
      </c>
      <c r="C273" s="1" t="s">
        <v>443</v>
      </c>
      <c r="D273" s="1">
        <v>58</v>
      </c>
      <c r="E273" s="1">
        <v>35</v>
      </c>
      <c r="F273" s="1" t="s">
        <v>953</v>
      </c>
      <c r="G273" s="1" t="s">
        <v>16</v>
      </c>
      <c r="H273" s="1" t="s">
        <v>24</v>
      </c>
      <c r="I273" s="1" t="s">
        <v>18</v>
      </c>
      <c r="J273" s="1">
        <v>40</v>
      </c>
      <c r="K273" s="1" t="s">
        <v>19</v>
      </c>
      <c r="L273" s="3">
        <v>138000</v>
      </c>
      <c r="M273" s="3">
        <v>138000</v>
      </c>
      <c r="N273" s="1" t="s">
        <v>29</v>
      </c>
      <c r="O273" s="5" t="str" cm="1">
        <f t="array" ref="O273">_xlfn.IFS(Table1[[#This Row],[Age]]&lt;25,"Young",Table1[[#This Row],[Age]]&lt;45,"Adult",Table1[[#This Row],[Age]]&gt;=45,"Old")</f>
        <v>Old</v>
      </c>
    </row>
    <row r="274" spans="1:15" x14ac:dyDescent="0.25">
      <c r="A274" s="1">
        <v>3895</v>
      </c>
      <c r="B274" s="1" t="s">
        <v>444</v>
      </c>
      <c r="C274" s="1" t="s">
        <v>445</v>
      </c>
      <c r="D274" s="1">
        <v>42</v>
      </c>
      <c r="E274" s="1">
        <v>1</v>
      </c>
      <c r="F274" s="1" t="s">
        <v>953</v>
      </c>
      <c r="G274" s="1" t="s">
        <v>23</v>
      </c>
      <c r="H274" s="1" t="s">
        <v>17</v>
      </c>
      <c r="I274" s="1" t="s">
        <v>18</v>
      </c>
      <c r="J274" s="1">
        <v>20</v>
      </c>
      <c r="K274" s="1" t="s">
        <v>25</v>
      </c>
      <c r="L274" s="3">
        <v>122000</v>
      </c>
      <c r="M274" s="3">
        <v>61000</v>
      </c>
      <c r="N274" s="1" t="s">
        <v>29</v>
      </c>
      <c r="O274" s="5" t="str" cm="1">
        <f t="array" ref="O274">_xlfn.IFS(Table1[[#This Row],[Age]]&lt;25,"Young",Table1[[#This Row],[Age]]&lt;45,"Adult",Table1[[#This Row],[Age]]&gt;=45,"Old")</f>
        <v>Adult</v>
      </c>
    </row>
    <row r="275" spans="1:15" x14ac:dyDescent="0.25">
      <c r="A275" s="1">
        <v>2344</v>
      </c>
      <c r="B275" s="1" t="s">
        <v>423</v>
      </c>
      <c r="C275" s="1" t="s">
        <v>446</v>
      </c>
      <c r="D275" s="1">
        <v>60</v>
      </c>
      <c r="E275" s="1">
        <v>13</v>
      </c>
      <c r="F275" s="1" t="s">
        <v>954</v>
      </c>
      <c r="G275" s="1" t="s">
        <v>35</v>
      </c>
      <c r="H275" s="1" t="s">
        <v>17</v>
      </c>
      <c r="I275" s="1" t="s">
        <v>18</v>
      </c>
      <c r="J275" s="1">
        <v>20</v>
      </c>
      <c r="K275" s="1" t="s">
        <v>19</v>
      </c>
      <c r="L275" s="3">
        <v>119751</v>
      </c>
      <c r="M275" s="3">
        <v>59875.5</v>
      </c>
      <c r="N275" s="1" t="s">
        <v>26</v>
      </c>
      <c r="O275" s="5" t="str" cm="1">
        <f t="array" ref="O275">_xlfn.IFS(Table1[[#This Row],[Age]]&lt;25,"Young",Table1[[#This Row],[Age]]&lt;45,"Adult",Table1[[#This Row],[Age]]&gt;=45,"Old")</f>
        <v>Old</v>
      </c>
    </row>
    <row r="276" spans="1:15" x14ac:dyDescent="0.25">
      <c r="A276" s="1">
        <v>22056</v>
      </c>
      <c r="B276" s="1" t="s">
        <v>114</v>
      </c>
      <c r="C276" s="1" t="s">
        <v>447</v>
      </c>
      <c r="D276" s="1">
        <v>32</v>
      </c>
      <c r="E276" s="1">
        <v>14</v>
      </c>
      <c r="F276" s="1" t="s">
        <v>954</v>
      </c>
      <c r="G276" s="1" t="s">
        <v>50</v>
      </c>
      <c r="H276" s="1" t="s">
        <v>24</v>
      </c>
      <c r="I276" s="1" t="s">
        <v>18</v>
      </c>
      <c r="J276" s="1">
        <v>16</v>
      </c>
      <c r="K276" s="1" t="s">
        <v>19</v>
      </c>
      <c r="L276" s="3">
        <v>115000</v>
      </c>
      <c r="M276" s="3">
        <v>46000</v>
      </c>
      <c r="N276" s="1" t="s">
        <v>29</v>
      </c>
      <c r="O276" s="5" t="str" cm="1">
        <f t="array" ref="O276">_xlfn.IFS(Table1[[#This Row],[Age]]&lt;25,"Young",Table1[[#This Row],[Age]]&lt;45,"Adult",Table1[[#This Row],[Age]]&gt;=45,"Old")</f>
        <v>Adult</v>
      </c>
    </row>
    <row r="277" spans="1:15" x14ac:dyDescent="0.25">
      <c r="A277" s="1">
        <v>18400</v>
      </c>
      <c r="B277" s="1" t="s">
        <v>314</v>
      </c>
      <c r="C277" s="1" t="s">
        <v>448</v>
      </c>
      <c r="D277" s="1">
        <v>26</v>
      </c>
      <c r="E277" s="1">
        <v>8</v>
      </c>
      <c r="F277" s="1" t="s">
        <v>953</v>
      </c>
      <c r="G277" s="1" t="s">
        <v>16</v>
      </c>
      <c r="H277" s="1" t="s">
        <v>36</v>
      </c>
      <c r="I277" s="1" t="s">
        <v>18</v>
      </c>
      <c r="J277" s="1">
        <v>40</v>
      </c>
      <c r="K277" s="1" t="s">
        <v>25</v>
      </c>
      <c r="L277" s="3">
        <v>112648</v>
      </c>
      <c r="M277" s="3">
        <v>112648</v>
      </c>
      <c r="N277" s="1" t="s">
        <v>29</v>
      </c>
      <c r="O277" s="5" t="str" cm="1">
        <f t="array" ref="O277">_xlfn.IFS(Table1[[#This Row],[Age]]&lt;25,"Young",Table1[[#This Row],[Age]]&lt;45,"Adult",Table1[[#This Row],[Age]]&gt;=45,"Old")</f>
        <v>Adult</v>
      </c>
    </row>
    <row r="278" spans="1:15" x14ac:dyDescent="0.25">
      <c r="A278" s="1">
        <v>1170</v>
      </c>
      <c r="B278" s="1" t="s">
        <v>449</v>
      </c>
      <c r="C278" s="1" t="s">
        <v>132</v>
      </c>
      <c r="D278" s="1">
        <v>44</v>
      </c>
      <c r="E278" s="1">
        <v>18</v>
      </c>
      <c r="F278" s="1" t="s">
        <v>954</v>
      </c>
      <c r="G278" s="1" t="s">
        <v>16</v>
      </c>
      <c r="H278" s="1" t="s">
        <v>24</v>
      </c>
      <c r="I278" s="1" t="s">
        <v>18</v>
      </c>
      <c r="J278" s="1">
        <v>40</v>
      </c>
      <c r="K278" s="1" t="s">
        <v>19</v>
      </c>
      <c r="L278" s="3">
        <v>125930</v>
      </c>
      <c r="M278" s="3">
        <v>125930</v>
      </c>
      <c r="N278" s="1" t="s">
        <v>26</v>
      </c>
      <c r="O278" s="5" t="str" cm="1">
        <f t="array" ref="O278">_xlfn.IFS(Table1[[#This Row],[Age]]&lt;25,"Young",Table1[[#This Row],[Age]]&lt;45,"Adult",Table1[[#This Row],[Age]]&gt;=45,"Old")</f>
        <v>Adult</v>
      </c>
    </row>
    <row r="279" spans="1:15" x14ac:dyDescent="0.25">
      <c r="A279" s="1">
        <v>3743</v>
      </c>
      <c r="B279" s="1" t="s">
        <v>450</v>
      </c>
      <c r="C279" s="1" t="s">
        <v>451</v>
      </c>
      <c r="D279" s="1">
        <v>51</v>
      </c>
      <c r="E279" s="1">
        <v>23</v>
      </c>
      <c r="F279" s="1" t="s">
        <v>954</v>
      </c>
      <c r="G279" s="1" t="s">
        <v>45</v>
      </c>
      <c r="H279" s="1" t="s">
        <v>32</v>
      </c>
      <c r="I279" s="1" t="s">
        <v>51</v>
      </c>
      <c r="J279" s="1">
        <v>24</v>
      </c>
      <c r="K279" s="1" t="s">
        <v>42</v>
      </c>
      <c r="L279" s="3">
        <v>68000</v>
      </c>
      <c r="M279" s="3">
        <v>40800</v>
      </c>
      <c r="N279" s="1" t="s">
        <v>20</v>
      </c>
      <c r="O279" s="5" t="str" cm="1">
        <f t="array" ref="O279">_xlfn.IFS(Table1[[#This Row],[Age]]&lt;25,"Young",Table1[[#This Row],[Age]]&lt;45,"Adult",Table1[[#This Row],[Age]]&gt;=45,"Old")</f>
        <v>Old</v>
      </c>
    </row>
    <row r="280" spans="1:15" x14ac:dyDescent="0.25">
      <c r="A280" s="1">
        <v>8432</v>
      </c>
      <c r="B280" s="1" t="s">
        <v>452</v>
      </c>
      <c r="C280" s="1" t="s">
        <v>453</v>
      </c>
      <c r="D280" s="1">
        <v>25</v>
      </c>
      <c r="E280" s="1">
        <v>3</v>
      </c>
      <c r="F280" s="1" t="s">
        <v>953</v>
      </c>
      <c r="G280" s="1" t="s">
        <v>16</v>
      </c>
      <c r="H280" s="1" t="s">
        <v>36</v>
      </c>
      <c r="I280" s="1" t="s">
        <v>18</v>
      </c>
      <c r="J280" s="1">
        <v>40</v>
      </c>
      <c r="K280" s="1" t="s">
        <v>42</v>
      </c>
      <c r="L280" s="3">
        <v>84236</v>
      </c>
      <c r="M280" s="3">
        <v>84236</v>
      </c>
      <c r="N280" s="1" t="s">
        <v>29</v>
      </c>
      <c r="O280" s="5" t="str" cm="1">
        <f t="array" ref="O280">_xlfn.IFS(Table1[[#This Row],[Age]]&lt;25,"Young",Table1[[#This Row],[Age]]&lt;45,"Adult",Table1[[#This Row],[Age]]&gt;=45,"Old")</f>
        <v>Adult</v>
      </c>
    </row>
    <row r="281" spans="1:15" x14ac:dyDescent="0.25">
      <c r="A281" s="1">
        <v>6136</v>
      </c>
      <c r="B281" s="1" t="s">
        <v>454</v>
      </c>
      <c r="C281" s="1" t="s">
        <v>455</v>
      </c>
      <c r="D281" s="1">
        <v>35</v>
      </c>
      <c r="E281" s="1">
        <v>0</v>
      </c>
      <c r="F281" s="1" t="s">
        <v>953</v>
      </c>
      <c r="G281" s="1" t="s">
        <v>23</v>
      </c>
      <c r="H281" s="1" t="s">
        <v>32</v>
      </c>
      <c r="I281" s="1" t="s">
        <v>18</v>
      </c>
      <c r="J281" s="1">
        <v>40</v>
      </c>
      <c r="K281" s="1" t="s">
        <v>37</v>
      </c>
      <c r="L281" s="3">
        <v>106153</v>
      </c>
      <c r="M281" s="3">
        <v>106153</v>
      </c>
      <c r="N281" s="1" t="s">
        <v>26</v>
      </c>
      <c r="O281" s="5" t="str" cm="1">
        <f t="array" ref="O281">_xlfn.IFS(Table1[[#This Row],[Age]]&lt;25,"Young",Table1[[#This Row],[Age]]&lt;45,"Adult",Table1[[#This Row],[Age]]&gt;=45,"Old")</f>
        <v>Adult</v>
      </c>
    </row>
    <row r="282" spans="1:15" x14ac:dyDescent="0.25">
      <c r="A282" s="1">
        <v>14004</v>
      </c>
      <c r="B282" s="1" t="s">
        <v>456</v>
      </c>
      <c r="C282" s="1" t="s">
        <v>457</v>
      </c>
      <c r="D282" s="1">
        <v>49</v>
      </c>
      <c r="E282" s="1">
        <v>26</v>
      </c>
      <c r="F282" s="1" t="s">
        <v>953</v>
      </c>
      <c r="G282" s="1" t="s">
        <v>45</v>
      </c>
      <c r="H282" s="1" t="s">
        <v>24</v>
      </c>
      <c r="I282" s="1" t="s">
        <v>18</v>
      </c>
      <c r="J282" s="1">
        <v>20</v>
      </c>
      <c r="K282" s="1" t="s">
        <v>25</v>
      </c>
      <c r="L282" s="3">
        <v>105840</v>
      </c>
      <c r="M282" s="3">
        <v>52920</v>
      </c>
      <c r="N282" s="1" t="s">
        <v>20</v>
      </c>
      <c r="O282" s="5" t="str" cm="1">
        <f t="array" ref="O282">_xlfn.IFS(Table1[[#This Row],[Age]]&lt;25,"Young",Table1[[#This Row],[Age]]&lt;45,"Adult",Table1[[#This Row],[Age]]&gt;=45,"Old")</f>
        <v>Old</v>
      </c>
    </row>
    <row r="283" spans="1:15" x14ac:dyDescent="0.25">
      <c r="A283" s="1">
        <v>16600</v>
      </c>
      <c r="B283" s="1" t="s">
        <v>195</v>
      </c>
      <c r="C283" s="1" t="s">
        <v>458</v>
      </c>
      <c r="D283" s="1">
        <v>39</v>
      </c>
      <c r="E283" s="1">
        <v>19</v>
      </c>
      <c r="F283" s="1" t="s">
        <v>953</v>
      </c>
      <c r="G283" s="1" t="s">
        <v>23</v>
      </c>
      <c r="H283" s="1" t="s">
        <v>17</v>
      </c>
      <c r="I283" s="1" t="s">
        <v>18</v>
      </c>
      <c r="J283" s="1">
        <v>20</v>
      </c>
      <c r="K283" s="1" t="s">
        <v>25</v>
      </c>
      <c r="L283" s="3">
        <v>122000</v>
      </c>
      <c r="M283" s="3">
        <v>61000</v>
      </c>
      <c r="N283" s="1" t="s">
        <v>26</v>
      </c>
      <c r="O283" s="5" t="str" cm="1">
        <f t="array" ref="O283">_xlfn.IFS(Table1[[#This Row],[Age]]&lt;25,"Young",Table1[[#This Row],[Age]]&lt;45,"Adult",Table1[[#This Row],[Age]]&gt;=45,"Old")</f>
        <v>Adult</v>
      </c>
    </row>
    <row r="284" spans="1:15" x14ac:dyDescent="0.25">
      <c r="A284" s="1">
        <v>16460</v>
      </c>
      <c r="B284" s="1" t="s">
        <v>459</v>
      </c>
      <c r="C284" s="1" t="s">
        <v>460</v>
      </c>
      <c r="D284" s="1">
        <v>45</v>
      </c>
      <c r="E284" s="1">
        <v>7</v>
      </c>
      <c r="F284" s="1" t="s">
        <v>954</v>
      </c>
      <c r="G284" s="1" t="s">
        <v>35</v>
      </c>
      <c r="H284" s="1" t="s">
        <v>24</v>
      </c>
      <c r="I284" s="1" t="s">
        <v>51</v>
      </c>
      <c r="J284" s="1">
        <v>16</v>
      </c>
      <c r="K284" s="1" t="s">
        <v>52</v>
      </c>
      <c r="L284" s="3">
        <v>130000</v>
      </c>
      <c r="M284" s="3">
        <v>52000</v>
      </c>
      <c r="N284" s="1" t="s">
        <v>29</v>
      </c>
      <c r="O284" s="5" t="str" cm="1">
        <f t="array" ref="O284">_xlfn.IFS(Table1[[#This Row],[Age]]&lt;25,"Young",Table1[[#This Row],[Age]]&lt;45,"Adult",Table1[[#This Row],[Age]]&gt;=45,"Old")</f>
        <v>Old</v>
      </c>
    </row>
    <row r="285" spans="1:15" x14ac:dyDescent="0.25">
      <c r="A285" s="1">
        <v>7691</v>
      </c>
      <c r="B285" s="1" t="s">
        <v>117</v>
      </c>
      <c r="C285" s="1" t="s">
        <v>394</v>
      </c>
      <c r="D285" s="1">
        <v>43</v>
      </c>
      <c r="E285" s="1">
        <v>3</v>
      </c>
      <c r="F285" s="1" t="s">
        <v>953</v>
      </c>
      <c r="G285" s="1" t="s">
        <v>23</v>
      </c>
      <c r="H285" s="1" t="s">
        <v>24</v>
      </c>
      <c r="I285" s="1" t="s">
        <v>18</v>
      </c>
      <c r="J285" s="1">
        <v>40</v>
      </c>
      <c r="K285" s="1" t="s">
        <v>25</v>
      </c>
      <c r="L285" s="3">
        <v>106651</v>
      </c>
      <c r="M285" s="3">
        <v>106651</v>
      </c>
      <c r="N285" s="1" t="s">
        <v>26</v>
      </c>
      <c r="O285" s="5" t="str" cm="1">
        <f t="array" ref="O285">_xlfn.IFS(Table1[[#This Row],[Age]]&lt;25,"Young",Table1[[#This Row],[Age]]&lt;45,"Adult",Table1[[#This Row],[Age]]&gt;=45,"Old")</f>
        <v>Adult</v>
      </c>
    </row>
    <row r="286" spans="1:15" x14ac:dyDescent="0.25">
      <c r="A286" s="1">
        <v>13828</v>
      </c>
      <c r="B286" s="1" t="s">
        <v>461</v>
      </c>
      <c r="C286" s="1" t="s">
        <v>332</v>
      </c>
      <c r="D286" s="1">
        <v>30</v>
      </c>
      <c r="E286" s="1">
        <v>8</v>
      </c>
      <c r="F286" s="1" t="s">
        <v>953</v>
      </c>
      <c r="G286" s="1" t="s">
        <v>50</v>
      </c>
      <c r="H286" s="1" t="s">
        <v>24</v>
      </c>
      <c r="I286" s="1" t="s">
        <v>18</v>
      </c>
      <c r="J286" s="1">
        <v>16</v>
      </c>
      <c r="K286" s="1" t="s">
        <v>25</v>
      </c>
      <c r="L286" s="3">
        <v>105840</v>
      </c>
      <c r="M286" s="3">
        <v>42336</v>
      </c>
      <c r="N286" s="1" t="s">
        <v>29</v>
      </c>
      <c r="O286" s="5" t="str" cm="1">
        <f t="array" ref="O286">_xlfn.IFS(Table1[[#This Row],[Age]]&lt;25,"Young",Table1[[#This Row],[Age]]&lt;45,"Adult",Table1[[#This Row],[Age]]&gt;=45,"Old")</f>
        <v>Adult</v>
      </c>
    </row>
    <row r="287" spans="1:15" x14ac:dyDescent="0.25">
      <c r="A287" s="1">
        <v>2608</v>
      </c>
      <c r="B287" s="1" t="s">
        <v>462</v>
      </c>
      <c r="C287" s="1" t="s">
        <v>463</v>
      </c>
      <c r="D287" s="1">
        <v>41</v>
      </c>
      <c r="E287" s="1">
        <v>15</v>
      </c>
      <c r="F287" s="1" t="s">
        <v>953</v>
      </c>
      <c r="G287" s="1" t="s">
        <v>23</v>
      </c>
      <c r="H287" s="1" t="s">
        <v>36</v>
      </c>
      <c r="I287" s="1" t="s">
        <v>51</v>
      </c>
      <c r="J287" s="1">
        <v>16</v>
      </c>
      <c r="K287" s="1" t="s">
        <v>42</v>
      </c>
      <c r="L287" s="3">
        <v>80094</v>
      </c>
      <c r="M287" s="3">
        <v>32037.599999999999</v>
      </c>
      <c r="N287" s="1" t="s">
        <v>29</v>
      </c>
      <c r="O287" s="5" t="str" cm="1">
        <f t="array" ref="O287">_xlfn.IFS(Table1[[#This Row],[Age]]&lt;25,"Young",Table1[[#This Row],[Age]]&lt;45,"Adult",Table1[[#This Row],[Age]]&gt;=45,"Old")</f>
        <v>Adult</v>
      </c>
    </row>
    <row r="288" spans="1:15" x14ac:dyDescent="0.25">
      <c r="A288" s="1">
        <v>6081</v>
      </c>
      <c r="B288" s="1" t="s">
        <v>464</v>
      </c>
      <c r="C288" s="1" t="s">
        <v>465</v>
      </c>
      <c r="D288" s="1">
        <v>47</v>
      </c>
      <c r="E288" s="1">
        <v>2</v>
      </c>
      <c r="F288" s="1" t="s">
        <v>954</v>
      </c>
      <c r="G288" s="1" t="s">
        <v>45</v>
      </c>
      <c r="H288" s="1" t="s">
        <v>32</v>
      </c>
      <c r="I288" s="1" t="s">
        <v>18</v>
      </c>
      <c r="J288" s="1">
        <v>40</v>
      </c>
      <c r="K288" s="1" t="s">
        <v>37</v>
      </c>
      <c r="L288" s="3">
        <v>96779</v>
      </c>
      <c r="M288" s="3">
        <v>96779</v>
      </c>
      <c r="N288" s="1" t="s">
        <v>29</v>
      </c>
      <c r="O288" s="5" t="str" cm="1">
        <f t="array" ref="O288">_xlfn.IFS(Table1[[#This Row],[Age]]&lt;25,"Young",Table1[[#This Row],[Age]]&lt;45,"Adult",Table1[[#This Row],[Age]]&gt;=45,"Old")</f>
        <v>Old</v>
      </c>
    </row>
    <row r="289" spans="1:15" x14ac:dyDescent="0.25">
      <c r="A289" s="1">
        <v>13105</v>
      </c>
      <c r="B289" s="1" t="s">
        <v>466</v>
      </c>
      <c r="C289" s="1" t="s">
        <v>467</v>
      </c>
      <c r="D289" s="1">
        <v>54</v>
      </c>
      <c r="E289" s="1">
        <v>29</v>
      </c>
      <c r="F289" s="1" t="s">
        <v>954</v>
      </c>
      <c r="G289" s="1" t="s">
        <v>45</v>
      </c>
      <c r="H289" s="1" t="s">
        <v>32</v>
      </c>
      <c r="I289" s="1" t="s">
        <v>18</v>
      </c>
      <c r="J289" s="1">
        <v>40</v>
      </c>
      <c r="K289" s="1" t="s">
        <v>37</v>
      </c>
      <c r="L289" s="3">
        <v>91254</v>
      </c>
      <c r="M289" s="3">
        <v>91254</v>
      </c>
      <c r="N289" s="1" t="s">
        <v>29</v>
      </c>
      <c r="O289" s="5" t="str" cm="1">
        <f t="array" ref="O289">_xlfn.IFS(Table1[[#This Row],[Age]]&lt;25,"Young",Table1[[#This Row],[Age]]&lt;45,"Adult",Table1[[#This Row],[Age]]&gt;=45,"Old")</f>
        <v>Old</v>
      </c>
    </row>
    <row r="290" spans="1:15" x14ac:dyDescent="0.25">
      <c r="A290" s="1">
        <v>757</v>
      </c>
      <c r="B290" s="1" t="s">
        <v>468</v>
      </c>
      <c r="C290" s="1" t="s">
        <v>469</v>
      </c>
      <c r="D290" s="1">
        <v>51</v>
      </c>
      <c r="E290" s="1">
        <v>7</v>
      </c>
      <c r="F290" s="1" t="s">
        <v>954</v>
      </c>
      <c r="G290" s="1" t="s">
        <v>23</v>
      </c>
      <c r="H290" s="1" t="s">
        <v>36</v>
      </c>
      <c r="I290" s="1" t="s">
        <v>18</v>
      </c>
      <c r="J290" s="1">
        <v>32</v>
      </c>
      <c r="K290" s="1" t="s">
        <v>25</v>
      </c>
      <c r="L290" s="3">
        <v>98000</v>
      </c>
      <c r="M290" s="3">
        <v>78400</v>
      </c>
      <c r="N290" s="1" t="s">
        <v>20</v>
      </c>
      <c r="O290" s="5" t="str" cm="1">
        <f t="array" ref="O290">_xlfn.IFS(Table1[[#This Row],[Age]]&lt;25,"Young",Table1[[#This Row],[Age]]&lt;45,"Adult",Table1[[#This Row],[Age]]&gt;=45,"Old")</f>
        <v>Old</v>
      </c>
    </row>
    <row r="291" spans="1:15" x14ac:dyDescent="0.25">
      <c r="A291" s="1">
        <v>13480</v>
      </c>
      <c r="B291" s="1" t="s">
        <v>470</v>
      </c>
      <c r="C291" s="1" t="s">
        <v>194</v>
      </c>
      <c r="D291" s="1">
        <v>45</v>
      </c>
      <c r="E291" s="1">
        <v>0</v>
      </c>
      <c r="F291" s="1" t="s">
        <v>953</v>
      </c>
      <c r="G291" s="1" t="s">
        <v>16</v>
      </c>
      <c r="H291" s="1" t="s">
        <v>36</v>
      </c>
      <c r="I291" s="1" t="s">
        <v>18</v>
      </c>
      <c r="J291" s="1">
        <v>40</v>
      </c>
      <c r="K291" s="1" t="s">
        <v>42</v>
      </c>
      <c r="L291" s="3">
        <v>77220</v>
      </c>
      <c r="M291" s="3">
        <v>77220</v>
      </c>
      <c r="N291" s="1" t="s">
        <v>29</v>
      </c>
      <c r="O291" s="5" t="str" cm="1">
        <f t="array" ref="O291">_xlfn.IFS(Table1[[#This Row],[Age]]&lt;25,"Young",Table1[[#This Row],[Age]]&lt;45,"Adult",Table1[[#This Row],[Age]]&gt;=45,"Old")</f>
        <v>Old</v>
      </c>
    </row>
    <row r="292" spans="1:15" x14ac:dyDescent="0.25">
      <c r="A292" s="1">
        <v>9377</v>
      </c>
      <c r="B292" s="1" t="s">
        <v>289</v>
      </c>
      <c r="C292" s="1" t="s">
        <v>471</v>
      </c>
      <c r="D292" s="1">
        <v>35</v>
      </c>
      <c r="E292" s="1">
        <v>14</v>
      </c>
      <c r="F292" s="1" t="s">
        <v>954</v>
      </c>
      <c r="G292" s="1" t="s">
        <v>45</v>
      </c>
      <c r="H292" s="1" t="s">
        <v>24</v>
      </c>
      <c r="I292" s="1" t="s">
        <v>18</v>
      </c>
      <c r="J292" s="1">
        <v>20</v>
      </c>
      <c r="K292" s="1" t="s">
        <v>19</v>
      </c>
      <c r="L292" s="3">
        <v>115000</v>
      </c>
      <c r="M292" s="3">
        <v>57500</v>
      </c>
      <c r="N292" s="1" t="s">
        <v>20</v>
      </c>
      <c r="O292" s="5" t="str" cm="1">
        <f t="array" ref="O292">_xlfn.IFS(Table1[[#This Row],[Age]]&lt;25,"Young",Table1[[#This Row],[Age]]&lt;45,"Adult",Table1[[#This Row],[Age]]&gt;=45,"Old")</f>
        <v>Adult</v>
      </c>
    </row>
    <row r="293" spans="1:15" x14ac:dyDescent="0.25">
      <c r="A293" s="1">
        <v>15596</v>
      </c>
      <c r="B293" s="1" t="s">
        <v>472</v>
      </c>
      <c r="C293" s="1" t="s">
        <v>473</v>
      </c>
      <c r="D293" s="1">
        <v>52</v>
      </c>
      <c r="E293" s="1">
        <v>31</v>
      </c>
      <c r="F293" s="1" t="s">
        <v>954</v>
      </c>
      <c r="G293" s="1" t="s">
        <v>35</v>
      </c>
      <c r="H293" s="1" t="s">
        <v>36</v>
      </c>
      <c r="I293" s="1" t="s">
        <v>51</v>
      </c>
      <c r="J293" s="1">
        <v>20</v>
      </c>
      <c r="K293" s="1" t="s">
        <v>42</v>
      </c>
      <c r="L293" s="3">
        <v>68688</v>
      </c>
      <c r="M293" s="3">
        <v>34344</v>
      </c>
      <c r="N293" s="1" t="s">
        <v>29</v>
      </c>
      <c r="O293" s="5" t="str" cm="1">
        <f t="array" ref="O293">_xlfn.IFS(Table1[[#This Row],[Age]]&lt;25,"Young",Table1[[#This Row],[Age]]&lt;45,"Adult",Table1[[#This Row],[Age]]&gt;=45,"Old")</f>
        <v>Old</v>
      </c>
    </row>
    <row r="294" spans="1:15" x14ac:dyDescent="0.25">
      <c r="A294" s="1">
        <v>10034</v>
      </c>
      <c r="B294" s="1" t="s">
        <v>33</v>
      </c>
      <c r="C294" s="1" t="s">
        <v>474</v>
      </c>
      <c r="D294" s="1">
        <v>50</v>
      </c>
      <c r="E294" s="1">
        <v>29</v>
      </c>
      <c r="F294" s="1" t="s">
        <v>954</v>
      </c>
      <c r="G294" s="1" t="s">
        <v>50</v>
      </c>
      <c r="H294" s="1" t="s">
        <v>24</v>
      </c>
      <c r="I294" s="1" t="s">
        <v>18</v>
      </c>
      <c r="J294" s="1">
        <v>40</v>
      </c>
      <c r="K294" s="1" t="s">
        <v>25</v>
      </c>
      <c r="L294" s="3">
        <v>105130</v>
      </c>
      <c r="M294" s="3">
        <v>105130</v>
      </c>
      <c r="N294" s="1" t="s">
        <v>29</v>
      </c>
      <c r="O294" s="5" t="str" cm="1">
        <f t="array" ref="O294">_xlfn.IFS(Table1[[#This Row],[Age]]&lt;25,"Young",Table1[[#This Row],[Age]]&lt;45,"Adult",Table1[[#This Row],[Age]]&gt;=45,"Old")</f>
        <v>Old</v>
      </c>
    </row>
    <row r="295" spans="1:15" x14ac:dyDescent="0.25">
      <c r="A295" s="1">
        <v>14548</v>
      </c>
      <c r="B295" s="1" t="s">
        <v>475</v>
      </c>
      <c r="C295" s="1" t="s">
        <v>317</v>
      </c>
      <c r="D295" s="1">
        <v>26</v>
      </c>
      <c r="E295" s="1">
        <v>2</v>
      </c>
      <c r="F295" s="1" t="s">
        <v>954</v>
      </c>
      <c r="G295" s="1" t="s">
        <v>45</v>
      </c>
      <c r="H295" s="1" t="s">
        <v>24</v>
      </c>
      <c r="I295" s="1" t="s">
        <v>18</v>
      </c>
      <c r="J295" s="1">
        <v>16</v>
      </c>
      <c r="K295" s="1" t="s">
        <v>37</v>
      </c>
      <c r="L295" s="3">
        <v>85000</v>
      </c>
      <c r="M295" s="3">
        <v>34000</v>
      </c>
      <c r="N295" s="1" t="s">
        <v>29</v>
      </c>
      <c r="O295" s="5" t="str" cm="1">
        <f t="array" ref="O295">_xlfn.IFS(Table1[[#This Row],[Age]]&lt;25,"Young",Table1[[#This Row],[Age]]&lt;45,"Adult",Table1[[#This Row],[Age]]&gt;=45,"Old")</f>
        <v>Adult</v>
      </c>
    </row>
    <row r="296" spans="1:15" x14ac:dyDescent="0.25">
      <c r="A296" s="1">
        <v>18898</v>
      </c>
      <c r="B296" s="1" t="s">
        <v>27</v>
      </c>
      <c r="C296" s="1" t="s">
        <v>405</v>
      </c>
      <c r="D296" s="1">
        <v>34</v>
      </c>
      <c r="E296" s="1">
        <v>5</v>
      </c>
      <c r="F296" s="1" t="s">
        <v>954</v>
      </c>
      <c r="G296" s="1" t="s">
        <v>45</v>
      </c>
      <c r="H296" s="1" t="s">
        <v>32</v>
      </c>
      <c r="I296" s="1" t="s">
        <v>18</v>
      </c>
      <c r="J296" s="1">
        <v>32</v>
      </c>
      <c r="K296" s="1" t="s">
        <v>37</v>
      </c>
      <c r="L296" s="3">
        <v>85000</v>
      </c>
      <c r="M296" s="3">
        <v>68000</v>
      </c>
      <c r="N296" s="1" t="s">
        <v>20</v>
      </c>
      <c r="O296" s="5" t="str" cm="1">
        <f t="array" ref="O296">_xlfn.IFS(Table1[[#This Row],[Age]]&lt;25,"Young",Table1[[#This Row],[Age]]&lt;45,"Adult",Table1[[#This Row],[Age]]&gt;=45,"Old")</f>
        <v>Adult</v>
      </c>
    </row>
    <row r="297" spans="1:15" x14ac:dyDescent="0.25">
      <c r="A297" s="1">
        <v>22375</v>
      </c>
      <c r="B297" s="1" t="s">
        <v>476</v>
      </c>
      <c r="C297" s="1" t="s">
        <v>477</v>
      </c>
      <c r="D297" s="1">
        <v>42</v>
      </c>
      <c r="E297" s="1">
        <v>22</v>
      </c>
      <c r="F297" s="1" t="s">
        <v>954</v>
      </c>
      <c r="G297" s="1" t="s">
        <v>45</v>
      </c>
      <c r="H297" s="1" t="s">
        <v>17</v>
      </c>
      <c r="I297" s="1" t="s">
        <v>18</v>
      </c>
      <c r="J297" s="1">
        <v>24</v>
      </c>
      <c r="K297" s="1" t="s">
        <v>52</v>
      </c>
      <c r="L297" s="3">
        <v>130000</v>
      </c>
      <c r="M297" s="3">
        <v>78000</v>
      </c>
      <c r="N297" s="1" t="s">
        <v>20</v>
      </c>
      <c r="O297" s="5" t="str" cm="1">
        <f t="array" ref="O297">_xlfn.IFS(Table1[[#This Row],[Age]]&lt;25,"Young",Table1[[#This Row],[Age]]&lt;45,"Adult",Table1[[#This Row],[Age]]&gt;=45,"Old")</f>
        <v>Adult</v>
      </c>
    </row>
    <row r="298" spans="1:15" x14ac:dyDescent="0.25">
      <c r="A298" s="1">
        <v>16634</v>
      </c>
      <c r="B298" s="1" t="s">
        <v>352</v>
      </c>
      <c r="C298" s="1" t="s">
        <v>478</v>
      </c>
      <c r="D298" s="1">
        <v>51</v>
      </c>
      <c r="E298" s="1">
        <v>18</v>
      </c>
      <c r="F298" s="1" t="s">
        <v>954</v>
      </c>
      <c r="G298" s="1" t="s">
        <v>23</v>
      </c>
      <c r="H298" s="1" t="s">
        <v>36</v>
      </c>
      <c r="I298" s="1" t="s">
        <v>18</v>
      </c>
      <c r="J298" s="1">
        <v>24</v>
      </c>
      <c r="K298" s="1" t="s">
        <v>42</v>
      </c>
      <c r="L298" s="3">
        <v>68000</v>
      </c>
      <c r="M298" s="3">
        <v>40800</v>
      </c>
      <c r="N298" s="1" t="s">
        <v>26</v>
      </c>
      <c r="O298" s="5" t="str" cm="1">
        <f t="array" ref="O298">_xlfn.IFS(Table1[[#This Row],[Age]]&lt;25,"Young",Table1[[#This Row],[Age]]&lt;45,"Adult",Table1[[#This Row],[Age]]&gt;=45,"Old")</f>
        <v>Old</v>
      </c>
    </row>
    <row r="299" spans="1:15" x14ac:dyDescent="0.25">
      <c r="A299" s="1">
        <v>5759</v>
      </c>
      <c r="B299" s="1" t="s">
        <v>270</v>
      </c>
      <c r="C299" s="1" t="s">
        <v>22</v>
      </c>
      <c r="D299" s="1">
        <v>57</v>
      </c>
      <c r="E299" s="1">
        <v>30</v>
      </c>
      <c r="F299" s="1" t="s">
        <v>954</v>
      </c>
      <c r="G299" s="1" t="s">
        <v>35</v>
      </c>
      <c r="H299" s="1" t="s">
        <v>36</v>
      </c>
      <c r="I299" s="1" t="s">
        <v>18</v>
      </c>
      <c r="J299" s="1">
        <v>8</v>
      </c>
      <c r="K299" s="1" t="s">
        <v>42</v>
      </c>
      <c r="L299" s="3">
        <v>68000</v>
      </c>
      <c r="M299" s="3">
        <v>13600</v>
      </c>
      <c r="N299" s="1" t="s">
        <v>29</v>
      </c>
      <c r="O299" s="5" t="str" cm="1">
        <f t="array" ref="O299">_xlfn.IFS(Table1[[#This Row],[Age]]&lt;25,"Young",Table1[[#This Row],[Age]]&lt;45,"Adult",Table1[[#This Row],[Age]]&gt;=45,"Old")</f>
        <v>Old</v>
      </c>
    </row>
    <row r="300" spans="1:15" x14ac:dyDescent="0.25">
      <c r="A300" s="1">
        <v>6909</v>
      </c>
      <c r="B300" s="1" t="s">
        <v>479</v>
      </c>
      <c r="C300" s="1" t="s">
        <v>90</v>
      </c>
      <c r="D300" s="1">
        <v>39</v>
      </c>
      <c r="E300" s="1">
        <v>10</v>
      </c>
      <c r="F300" s="1" t="s">
        <v>954</v>
      </c>
      <c r="G300" s="1" t="s">
        <v>50</v>
      </c>
      <c r="H300" s="1" t="s">
        <v>24</v>
      </c>
      <c r="I300" s="1" t="s">
        <v>18</v>
      </c>
      <c r="J300" s="1">
        <v>20</v>
      </c>
      <c r="K300" s="1" t="s">
        <v>25</v>
      </c>
      <c r="L300" s="3">
        <v>98000</v>
      </c>
      <c r="M300" s="3">
        <v>49000</v>
      </c>
      <c r="N300" s="1" t="s">
        <v>20</v>
      </c>
      <c r="O300" s="5" t="str" cm="1">
        <f t="array" ref="O300">_xlfn.IFS(Table1[[#This Row],[Age]]&lt;25,"Young",Table1[[#This Row],[Age]]&lt;45,"Adult",Table1[[#This Row],[Age]]&gt;=45,"Old")</f>
        <v>Adult</v>
      </c>
    </row>
    <row r="301" spans="1:15" x14ac:dyDescent="0.25">
      <c r="A301" s="1">
        <v>10409</v>
      </c>
      <c r="B301" s="1" t="s">
        <v>480</v>
      </c>
      <c r="C301" s="1" t="s">
        <v>395</v>
      </c>
      <c r="D301" s="1">
        <v>42</v>
      </c>
      <c r="E301" s="1">
        <v>19</v>
      </c>
      <c r="F301" s="1" t="s">
        <v>953</v>
      </c>
      <c r="G301" s="1" t="s">
        <v>35</v>
      </c>
      <c r="H301" s="1" t="s">
        <v>36</v>
      </c>
      <c r="I301" s="1" t="s">
        <v>18</v>
      </c>
      <c r="J301" s="1">
        <v>20</v>
      </c>
      <c r="K301" s="1" t="s">
        <v>19</v>
      </c>
      <c r="L301" s="3">
        <v>124200</v>
      </c>
      <c r="M301" s="3">
        <v>62100</v>
      </c>
      <c r="N301" s="1" t="s">
        <v>20</v>
      </c>
      <c r="O301" s="5" t="str" cm="1">
        <f t="array" ref="O301">_xlfn.IFS(Table1[[#This Row],[Age]]&lt;25,"Young",Table1[[#This Row],[Age]]&lt;45,"Adult",Table1[[#This Row],[Age]]&gt;=45,"Old")</f>
        <v>Adult</v>
      </c>
    </row>
    <row r="302" spans="1:15" x14ac:dyDescent="0.25">
      <c r="A302" s="1">
        <v>7820</v>
      </c>
      <c r="B302" s="1" t="s">
        <v>392</v>
      </c>
      <c r="C302" s="1" t="s">
        <v>297</v>
      </c>
      <c r="D302" s="1">
        <v>45</v>
      </c>
      <c r="E302" s="1">
        <v>14</v>
      </c>
      <c r="F302" s="1" t="s">
        <v>954</v>
      </c>
      <c r="G302" s="1" t="s">
        <v>23</v>
      </c>
      <c r="H302" s="1" t="s">
        <v>119</v>
      </c>
      <c r="I302" s="1" t="s">
        <v>51</v>
      </c>
      <c r="J302" s="1">
        <v>24</v>
      </c>
      <c r="K302" s="1" t="s">
        <v>19</v>
      </c>
      <c r="L302" s="3">
        <v>115000</v>
      </c>
      <c r="M302" s="3">
        <v>69000</v>
      </c>
      <c r="N302" s="1" t="s">
        <v>26</v>
      </c>
      <c r="O302" s="5" t="str" cm="1">
        <f t="array" ref="O302">_xlfn.IFS(Table1[[#This Row],[Age]]&lt;25,"Young",Table1[[#This Row],[Age]]&lt;45,"Adult",Table1[[#This Row],[Age]]&gt;=45,"Old")</f>
        <v>Old</v>
      </c>
    </row>
    <row r="303" spans="1:15" x14ac:dyDescent="0.25">
      <c r="A303" s="1">
        <v>2603</v>
      </c>
      <c r="B303" s="1" t="s">
        <v>182</v>
      </c>
      <c r="C303" s="1" t="s">
        <v>294</v>
      </c>
      <c r="D303" s="1">
        <v>35</v>
      </c>
      <c r="E303" s="1">
        <v>14</v>
      </c>
      <c r="F303" s="1" t="s">
        <v>953</v>
      </c>
      <c r="G303" s="1" t="s">
        <v>23</v>
      </c>
      <c r="H303" s="1" t="s">
        <v>192</v>
      </c>
      <c r="I303" s="1" t="s">
        <v>18</v>
      </c>
      <c r="J303" s="1">
        <v>32</v>
      </c>
      <c r="K303" s="1" t="s">
        <v>25</v>
      </c>
      <c r="L303" s="3">
        <v>105840</v>
      </c>
      <c r="M303" s="3">
        <v>84672</v>
      </c>
      <c r="N303" s="1" t="s">
        <v>20</v>
      </c>
      <c r="O303" s="5" t="str" cm="1">
        <f t="array" ref="O303">_xlfn.IFS(Table1[[#This Row],[Age]]&lt;25,"Young",Table1[[#This Row],[Age]]&lt;45,"Adult",Table1[[#This Row],[Age]]&gt;=45,"Old")</f>
        <v>Adult</v>
      </c>
    </row>
    <row r="304" spans="1:15" x14ac:dyDescent="0.25">
      <c r="A304" s="1">
        <v>19665</v>
      </c>
      <c r="B304" s="1" t="s">
        <v>385</v>
      </c>
      <c r="C304" s="1" t="s">
        <v>330</v>
      </c>
      <c r="D304" s="1">
        <v>46</v>
      </c>
      <c r="E304" s="1">
        <v>3</v>
      </c>
      <c r="F304" s="1" t="s">
        <v>953</v>
      </c>
      <c r="G304" s="1" t="s">
        <v>35</v>
      </c>
      <c r="H304" s="1" t="s">
        <v>64</v>
      </c>
      <c r="I304" s="1" t="s">
        <v>51</v>
      </c>
      <c r="J304" s="1">
        <v>20</v>
      </c>
      <c r="K304" s="1" t="s">
        <v>25</v>
      </c>
      <c r="L304" s="3">
        <v>105840</v>
      </c>
      <c r="M304" s="3">
        <v>52920</v>
      </c>
      <c r="N304" s="1" t="s">
        <v>20</v>
      </c>
      <c r="O304" s="5" t="str" cm="1">
        <f t="array" ref="O304">_xlfn.IFS(Table1[[#This Row],[Age]]&lt;25,"Young",Table1[[#This Row],[Age]]&lt;45,"Adult",Table1[[#This Row],[Age]]&gt;=45,"Old")</f>
        <v>Old</v>
      </c>
    </row>
    <row r="305" spans="1:15" x14ac:dyDescent="0.25">
      <c r="A305" s="1">
        <v>18453</v>
      </c>
      <c r="B305" s="1" t="s">
        <v>182</v>
      </c>
      <c r="C305" s="1" t="s">
        <v>481</v>
      </c>
      <c r="D305" s="1">
        <v>48</v>
      </c>
      <c r="E305" s="1">
        <v>15</v>
      </c>
      <c r="F305" s="1" t="s">
        <v>953</v>
      </c>
      <c r="G305" s="1" t="s">
        <v>50</v>
      </c>
      <c r="H305" s="1" t="s">
        <v>24</v>
      </c>
      <c r="I305" s="1" t="s">
        <v>18</v>
      </c>
      <c r="J305" s="1">
        <v>40</v>
      </c>
      <c r="K305" s="1" t="s">
        <v>25</v>
      </c>
      <c r="L305" s="3">
        <v>122000</v>
      </c>
      <c r="M305" s="3">
        <v>122000</v>
      </c>
      <c r="N305" s="1" t="s">
        <v>26</v>
      </c>
      <c r="O305" s="5" t="str" cm="1">
        <f t="array" ref="O305">_xlfn.IFS(Table1[[#This Row],[Age]]&lt;25,"Young",Table1[[#This Row],[Age]]&lt;45,"Adult",Table1[[#This Row],[Age]]&gt;=45,"Old")</f>
        <v>Old</v>
      </c>
    </row>
    <row r="306" spans="1:15" x14ac:dyDescent="0.25">
      <c r="A306" s="1">
        <v>2684</v>
      </c>
      <c r="B306" s="1" t="s">
        <v>482</v>
      </c>
      <c r="C306" s="1" t="s">
        <v>483</v>
      </c>
      <c r="D306" s="1">
        <v>39</v>
      </c>
      <c r="E306" s="1">
        <v>17</v>
      </c>
      <c r="F306" s="1" t="s">
        <v>953</v>
      </c>
      <c r="G306" s="1" t="s">
        <v>50</v>
      </c>
      <c r="H306" s="1" t="s">
        <v>36</v>
      </c>
      <c r="I306" s="1" t="s">
        <v>18</v>
      </c>
      <c r="J306" s="1">
        <v>40</v>
      </c>
      <c r="K306" s="1" t="s">
        <v>37</v>
      </c>
      <c r="L306" s="3">
        <v>107000</v>
      </c>
      <c r="M306" s="3">
        <v>107000</v>
      </c>
      <c r="N306" s="1" t="s">
        <v>29</v>
      </c>
      <c r="O306" s="5" t="str" cm="1">
        <f t="array" ref="O306">_xlfn.IFS(Table1[[#This Row],[Age]]&lt;25,"Young",Table1[[#This Row],[Age]]&lt;45,"Adult",Table1[[#This Row],[Age]]&gt;=45,"Old")</f>
        <v>Adult</v>
      </c>
    </row>
    <row r="307" spans="1:15" x14ac:dyDescent="0.25">
      <c r="A307" s="1">
        <v>10963</v>
      </c>
      <c r="B307" s="1" t="s">
        <v>484</v>
      </c>
      <c r="C307" s="1" t="s">
        <v>285</v>
      </c>
      <c r="D307" s="1">
        <v>37</v>
      </c>
      <c r="E307" s="1">
        <v>18</v>
      </c>
      <c r="F307" s="1" t="s">
        <v>953</v>
      </c>
      <c r="G307" s="1" t="s">
        <v>23</v>
      </c>
      <c r="H307" s="1" t="s">
        <v>24</v>
      </c>
      <c r="I307" s="1" t="s">
        <v>18</v>
      </c>
      <c r="J307" s="1">
        <v>40</v>
      </c>
      <c r="K307" s="1" t="s">
        <v>19</v>
      </c>
      <c r="L307" s="3">
        <v>138000</v>
      </c>
      <c r="M307" s="3">
        <v>138000</v>
      </c>
      <c r="N307" s="1" t="s">
        <v>26</v>
      </c>
      <c r="O307" s="5" t="str" cm="1">
        <f t="array" ref="O307">_xlfn.IFS(Table1[[#This Row],[Age]]&lt;25,"Young",Table1[[#This Row],[Age]]&lt;45,"Adult",Table1[[#This Row],[Age]]&gt;=45,"Old")</f>
        <v>Adult</v>
      </c>
    </row>
    <row r="308" spans="1:15" x14ac:dyDescent="0.25">
      <c r="A308" s="1">
        <v>2560</v>
      </c>
      <c r="B308" s="1" t="s">
        <v>485</v>
      </c>
      <c r="C308" s="1" t="s">
        <v>486</v>
      </c>
      <c r="D308" s="1">
        <v>28</v>
      </c>
      <c r="E308" s="1">
        <v>4</v>
      </c>
      <c r="F308" s="1" t="s">
        <v>954</v>
      </c>
      <c r="G308" s="1" t="s">
        <v>35</v>
      </c>
      <c r="H308" s="1" t="s">
        <v>32</v>
      </c>
      <c r="I308" s="1" t="s">
        <v>18</v>
      </c>
      <c r="J308" s="1">
        <v>40</v>
      </c>
      <c r="K308" s="1" t="s">
        <v>25</v>
      </c>
      <c r="L308" s="3">
        <v>112132</v>
      </c>
      <c r="M308" s="3">
        <v>112132</v>
      </c>
      <c r="N308" s="1" t="s">
        <v>29</v>
      </c>
      <c r="O308" s="5" t="str" cm="1">
        <f t="array" ref="O308">_xlfn.IFS(Table1[[#This Row],[Age]]&lt;25,"Young",Table1[[#This Row],[Age]]&lt;45,"Adult",Table1[[#This Row],[Age]]&gt;=45,"Old")</f>
        <v>Adult</v>
      </c>
    </row>
    <row r="309" spans="1:15" x14ac:dyDescent="0.25">
      <c r="A309" s="1">
        <v>2330</v>
      </c>
      <c r="B309" s="1" t="s">
        <v>308</v>
      </c>
      <c r="C309" s="1" t="s">
        <v>113</v>
      </c>
      <c r="D309" s="1">
        <v>35</v>
      </c>
      <c r="E309" s="1">
        <v>14</v>
      </c>
      <c r="F309" s="1" t="s">
        <v>953</v>
      </c>
      <c r="G309" s="1" t="s">
        <v>23</v>
      </c>
      <c r="H309" s="1" t="s">
        <v>32</v>
      </c>
      <c r="I309" s="1" t="s">
        <v>18</v>
      </c>
      <c r="J309" s="1">
        <v>40</v>
      </c>
      <c r="K309" s="1" t="s">
        <v>25</v>
      </c>
      <c r="L309" s="3">
        <v>122000</v>
      </c>
      <c r="M309" s="3">
        <v>122000</v>
      </c>
      <c r="N309" s="1" t="s">
        <v>26</v>
      </c>
      <c r="O309" s="5" t="str" cm="1">
        <f t="array" ref="O309">_xlfn.IFS(Table1[[#This Row],[Age]]&lt;25,"Young",Table1[[#This Row],[Age]]&lt;45,"Adult",Table1[[#This Row],[Age]]&gt;=45,"Old")</f>
        <v>Adult</v>
      </c>
    </row>
    <row r="310" spans="1:15" x14ac:dyDescent="0.25">
      <c r="A310" s="1">
        <v>19829</v>
      </c>
      <c r="B310" s="1" t="s">
        <v>487</v>
      </c>
      <c r="C310" s="1" t="s">
        <v>402</v>
      </c>
      <c r="D310" s="1">
        <v>56</v>
      </c>
      <c r="E310" s="1">
        <v>19</v>
      </c>
      <c r="F310" s="1" t="s">
        <v>953</v>
      </c>
      <c r="G310" s="1" t="s">
        <v>35</v>
      </c>
      <c r="H310" s="1" t="s">
        <v>17</v>
      </c>
      <c r="I310" s="1" t="s">
        <v>51</v>
      </c>
      <c r="J310" s="1">
        <v>32</v>
      </c>
      <c r="K310" s="1" t="s">
        <v>19</v>
      </c>
      <c r="L310" s="3">
        <v>125383</v>
      </c>
      <c r="M310" s="3">
        <v>100306.4</v>
      </c>
      <c r="N310" s="1" t="s">
        <v>29</v>
      </c>
      <c r="O310" s="5" t="str" cm="1">
        <f t="array" ref="O310">_xlfn.IFS(Table1[[#This Row],[Age]]&lt;25,"Young",Table1[[#This Row],[Age]]&lt;45,"Adult",Table1[[#This Row],[Age]]&gt;=45,"Old")</f>
        <v>Old</v>
      </c>
    </row>
    <row r="311" spans="1:15" x14ac:dyDescent="0.25">
      <c r="A311" s="1">
        <v>16310</v>
      </c>
      <c r="B311" s="1" t="s">
        <v>314</v>
      </c>
      <c r="C311" s="1" t="s">
        <v>488</v>
      </c>
      <c r="D311" s="1">
        <v>37</v>
      </c>
      <c r="E311" s="1">
        <v>2</v>
      </c>
      <c r="F311" s="1" t="s">
        <v>954</v>
      </c>
      <c r="G311" s="1" t="s">
        <v>45</v>
      </c>
      <c r="H311" s="1" t="s">
        <v>24</v>
      </c>
      <c r="I311" s="1" t="s">
        <v>18</v>
      </c>
      <c r="J311" s="1">
        <v>20</v>
      </c>
      <c r="K311" s="1" t="s">
        <v>52</v>
      </c>
      <c r="L311" s="3">
        <v>130000</v>
      </c>
      <c r="M311" s="3">
        <v>65000</v>
      </c>
      <c r="N311" s="1" t="s">
        <v>29</v>
      </c>
      <c r="O311" s="5" t="str" cm="1">
        <f t="array" ref="O311">_xlfn.IFS(Table1[[#This Row],[Age]]&lt;25,"Young",Table1[[#This Row],[Age]]&lt;45,"Adult",Table1[[#This Row],[Age]]&gt;=45,"Old")</f>
        <v>Adult</v>
      </c>
    </row>
    <row r="312" spans="1:15" x14ac:dyDescent="0.25">
      <c r="A312" s="1">
        <v>17164</v>
      </c>
      <c r="B312" s="1" t="s">
        <v>489</v>
      </c>
      <c r="C312" s="1" t="s">
        <v>411</v>
      </c>
      <c r="D312" s="1">
        <v>53</v>
      </c>
      <c r="E312" s="1">
        <v>11</v>
      </c>
      <c r="F312" s="1" t="s">
        <v>954</v>
      </c>
      <c r="G312" s="1" t="s">
        <v>45</v>
      </c>
      <c r="H312" s="1" t="s">
        <v>32</v>
      </c>
      <c r="I312" s="1" t="s">
        <v>18</v>
      </c>
      <c r="J312" s="1">
        <v>20</v>
      </c>
      <c r="K312" s="1" t="s">
        <v>37</v>
      </c>
      <c r="L312" s="3">
        <v>85000</v>
      </c>
      <c r="M312" s="3">
        <v>42500</v>
      </c>
      <c r="N312" s="1" t="s">
        <v>20</v>
      </c>
      <c r="O312" s="5" t="str" cm="1">
        <f t="array" ref="O312">_xlfn.IFS(Table1[[#This Row],[Age]]&lt;25,"Young",Table1[[#This Row],[Age]]&lt;45,"Adult",Table1[[#This Row],[Age]]&gt;=45,"Old")</f>
        <v>Old</v>
      </c>
    </row>
    <row r="313" spans="1:15" x14ac:dyDescent="0.25">
      <c r="A313" s="1">
        <v>18090</v>
      </c>
      <c r="B313" s="1" t="s">
        <v>490</v>
      </c>
      <c r="C313" s="1" t="s">
        <v>491</v>
      </c>
      <c r="D313" s="1">
        <v>60</v>
      </c>
      <c r="E313" s="1">
        <v>21</v>
      </c>
      <c r="F313" s="1" t="s">
        <v>954</v>
      </c>
      <c r="G313" s="1" t="s">
        <v>23</v>
      </c>
      <c r="H313" s="1" t="s">
        <v>32</v>
      </c>
      <c r="I313" s="1" t="s">
        <v>51</v>
      </c>
      <c r="J313" s="1">
        <v>24</v>
      </c>
      <c r="K313" s="1" t="s">
        <v>42</v>
      </c>
      <c r="L313" s="3">
        <v>68000</v>
      </c>
      <c r="M313" s="3">
        <v>40800</v>
      </c>
      <c r="N313" s="1" t="s">
        <v>20</v>
      </c>
      <c r="O313" s="5" t="str" cm="1">
        <f t="array" ref="O313">_xlfn.IFS(Table1[[#This Row],[Age]]&lt;25,"Young",Table1[[#This Row],[Age]]&lt;45,"Adult",Table1[[#This Row],[Age]]&gt;=45,"Old")</f>
        <v>Old</v>
      </c>
    </row>
    <row r="314" spans="1:15" x14ac:dyDescent="0.25">
      <c r="A314" s="1">
        <v>5845</v>
      </c>
      <c r="B314" s="1" t="s">
        <v>492</v>
      </c>
      <c r="C314" s="1" t="s">
        <v>145</v>
      </c>
      <c r="D314" s="1">
        <v>57</v>
      </c>
      <c r="E314" s="1">
        <v>6</v>
      </c>
      <c r="F314" s="1" t="s">
        <v>953</v>
      </c>
      <c r="G314" s="1" t="s">
        <v>23</v>
      </c>
      <c r="H314" s="1" t="s">
        <v>192</v>
      </c>
      <c r="I314" s="1" t="s">
        <v>51</v>
      </c>
      <c r="J314" s="1">
        <v>16</v>
      </c>
      <c r="K314" s="1" t="s">
        <v>52</v>
      </c>
      <c r="L314" s="3">
        <v>140400</v>
      </c>
      <c r="M314" s="3">
        <v>56160</v>
      </c>
      <c r="N314" s="1" t="s">
        <v>29</v>
      </c>
      <c r="O314" s="5" t="str" cm="1">
        <f t="array" ref="O314">_xlfn.IFS(Table1[[#This Row],[Age]]&lt;25,"Young",Table1[[#This Row],[Age]]&lt;45,"Adult",Table1[[#This Row],[Age]]&gt;=45,"Old")</f>
        <v>Old</v>
      </c>
    </row>
    <row r="315" spans="1:15" x14ac:dyDescent="0.25">
      <c r="A315" s="1">
        <v>2550</v>
      </c>
      <c r="B315" s="1" t="s">
        <v>293</v>
      </c>
      <c r="C315" s="1" t="s">
        <v>493</v>
      </c>
      <c r="D315" s="1">
        <v>44</v>
      </c>
      <c r="E315" s="1">
        <v>19</v>
      </c>
      <c r="F315" s="1" t="s">
        <v>954</v>
      </c>
      <c r="G315" s="1" t="s">
        <v>16</v>
      </c>
      <c r="H315" s="1" t="s">
        <v>24</v>
      </c>
      <c r="I315" s="1" t="s">
        <v>18</v>
      </c>
      <c r="J315" s="1">
        <v>20</v>
      </c>
      <c r="K315" s="1" t="s">
        <v>19</v>
      </c>
      <c r="L315" s="3">
        <v>115000</v>
      </c>
      <c r="M315" s="3">
        <v>57500</v>
      </c>
      <c r="N315" s="1" t="s">
        <v>20</v>
      </c>
      <c r="O315" s="5" t="str" cm="1">
        <f t="array" ref="O315">_xlfn.IFS(Table1[[#This Row],[Age]]&lt;25,"Young",Table1[[#This Row],[Age]]&lt;45,"Adult",Table1[[#This Row],[Age]]&gt;=45,"Old")</f>
        <v>Adult</v>
      </c>
    </row>
    <row r="316" spans="1:15" x14ac:dyDescent="0.25">
      <c r="A316" s="1">
        <v>2550</v>
      </c>
      <c r="B316" s="1" t="s">
        <v>293</v>
      </c>
      <c r="C316" s="1" t="s">
        <v>493</v>
      </c>
      <c r="D316" s="1">
        <v>44</v>
      </c>
      <c r="E316" s="1">
        <v>19</v>
      </c>
      <c r="F316" s="1" t="s">
        <v>954</v>
      </c>
      <c r="G316" s="1" t="s">
        <v>16</v>
      </c>
      <c r="H316" s="1" t="s">
        <v>17</v>
      </c>
      <c r="I316" s="1" t="s">
        <v>18</v>
      </c>
      <c r="J316" s="1">
        <v>20</v>
      </c>
      <c r="K316" s="1" t="s">
        <v>19</v>
      </c>
      <c r="L316" s="3">
        <v>115000</v>
      </c>
      <c r="M316" s="3">
        <v>57500</v>
      </c>
      <c r="N316" s="1" t="s">
        <v>20</v>
      </c>
      <c r="O316" s="5" t="str" cm="1">
        <f t="array" ref="O316">_xlfn.IFS(Table1[[#This Row],[Age]]&lt;25,"Young",Table1[[#This Row],[Age]]&lt;45,"Adult",Table1[[#This Row],[Age]]&gt;=45,"Old")</f>
        <v>Adult</v>
      </c>
    </row>
    <row r="317" spans="1:15" x14ac:dyDescent="0.25">
      <c r="A317" s="1">
        <v>16024</v>
      </c>
      <c r="B317" s="1" t="s">
        <v>265</v>
      </c>
      <c r="C317" s="1" t="s">
        <v>266</v>
      </c>
      <c r="D317" s="1">
        <v>37</v>
      </c>
      <c r="E317" s="1">
        <v>10</v>
      </c>
      <c r="F317" s="1" t="s">
        <v>954</v>
      </c>
      <c r="G317" s="1" t="s">
        <v>16</v>
      </c>
      <c r="H317" s="1" t="s">
        <v>24</v>
      </c>
      <c r="I317" s="1" t="s">
        <v>18</v>
      </c>
      <c r="J317" s="1">
        <v>20</v>
      </c>
      <c r="K317" s="1" t="s">
        <v>37</v>
      </c>
      <c r="L317" s="3">
        <v>85000</v>
      </c>
      <c r="M317" s="3">
        <v>42500</v>
      </c>
      <c r="N317" s="1" t="s">
        <v>29</v>
      </c>
      <c r="O317" s="5" t="str" cm="1">
        <f t="array" ref="O317">_xlfn.IFS(Table1[[#This Row],[Age]]&lt;25,"Young",Table1[[#This Row],[Age]]&lt;45,"Adult",Table1[[#This Row],[Age]]&gt;=45,"Old")</f>
        <v>Adult</v>
      </c>
    </row>
    <row r="318" spans="1:15" x14ac:dyDescent="0.25">
      <c r="A318" s="1">
        <v>17327</v>
      </c>
      <c r="B318" s="1" t="s">
        <v>494</v>
      </c>
      <c r="C318" s="1" t="s">
        <v>495</v>
      </c>
      <c r="D318" s="1">
        <v>44</v>
      </c>
      <c r="E318" s="1">
        <v>23</v>
      </c>
      <c r="F318" s="1" t="s">
        <v>953</v>
      </c>
      <c r="G318" s="1" t="s">
        <v>16</v>
      </c>
      <c r="H318" s="1" t="s">
        <v>32</v>
      </c>
      <c r="I318" s="1" t="s">
        <v>18</v>
      </c>
      <c r="J318" s="1">
        <v>40</v>
      </c>
      <c r="K318" s="1" t="s">
        <v>25</v>
      </c>
      <c r="L318" s="3">
        <v>106383</v>
      </c>
      <c r="M318" s="3">
        <v>106383</v>
      </c>
      <c r="N318" s="1" t="s">
        <v>29</v>
      </c>
      <c r="O318" s="5" t="str" cm="1">
        <f t="array" ref="O318">_xlfn.IFS(Table1[[#This Row],[Age]]&lt;25,"Young",Table1[[#This Row],[Age]]&lt;45,"Adult",Table1[[#This Row],[Age]]&gt;=45,"Old")</f>
        <v>Adult</v>
      </c>
    </row>
    <row r="319" spans="1:15" x14ac:dyDescent="0.25">
      <c r="A319" s="1">
        <v>3312</v>
      </c>
      <c r="B319" s="1" t="s">
        <v>496</v>
      </c>
      <c r="C319" s="1" t="s">
        <v>405</v>
      </c>
      <c r="D319" s="1">
        <v>47</v>
      </c>
      <c r="E319" s="1">
        <v>21</v>
      </c>
      <c r="F319" s="1" t="s">
        <v>954</v>
      </c>
      <c r="G319" s="1" t="s">
        <v>50</v>
      </c>
      <c r="H319" s="1" t="s">
        <v>32</v>
      </c>
      <c r="I319" s="1" t="s">
        <v>51</v>
      </c>
      <c r="J319" s="1">
        <v>24</v>
      </c>
      <c r="K319" s="1" t="s">
        <v>25</v>
      </c>
      <c r="L319" s="3">
        <v>98000</v>
      </c>
      <c r="M319" s="3">
        <v>58800</v>
      </c>
      <c r="N319" s="1" t="s">
        <v>20</v>
      </c>
      <c r="O319" s="5" t="str" cm="1">
        <f t="array" ref="O319">_xlfn.IFS(Table1[[#This Row],[Age]]&lt;25,"Young",Table1[[#This Row],[Age]]&lt;45,"Adult",Table1[[#This Row],[Age]]&gt;=45,"Old")</f>
        <v>Old</v>
      </c>
    </row>
    <row r="320" spans="1:15" x14ac:dyDescent="0.25">
      <c r="A320" s="1">
        <v>16600</v>
      </c>
      <c r="B320" s="1" t="s">
        <v>195</v>
      </c>
      <c r="C320" s="1" t="s">
        <v>458</v>
      </c>
      <c r="D320" s="1">
        <v>39</v>
      </c>
      <c r="E320" s="1">
        <v>19</v>
      </c>
      <c r="F320" s="1" t="s">
        <v>953</v>
      </c>
      <c r="G320" s="1" t="s">
        <v>23</v>
      </c>
      <c r="H320" s="1" t="s">
        <v>24</v>
      </c>
      <c r="I320" s="1" t="s">
        <v>18</v>
      </c>
      <c r="J320" s="1">
        <v>20</v>
      </c>
      <c r="K320" s="1" t="s">
        <v>25</v>
      </c>
      <c r="L320" s="3">
        <v>122000</v>
      </c>
      <c r="M320" s="3">
        <v>61000</v>
      </c>
      <c r="N320" s="1" t="s">
        <v>26</v>
      </c>
      <c r="O320" s="5" t="str" cm="1">
        <f t="array" ref="O320">_xlfn.IFS(Table1[[#This Row],[Age]]&lt;25,"Young",Table1[[#This Row],[Age]]&lt;45,"Adult",Table1[[#This Row],[Age]]&gt;=45,"Old")</f>
        <v>Adult</v>
      </c>
    </row>
    <row r="321" spans="1:15" x14ac:dyDescent="0.25">
      <c r="A321" s="1">
        <v>6776</v>
      </c>
      <c r="B321" s="1" t="s">
        <v>21</v>
      </c>
      <c r="C321" s="1" t="s">
        <v>497</v>
      </c>
      <c r="D321" s="1">
        <v>26</v>
      </c>
      <c r="E321" s="1">
        <v>8</v>
      </c>
      <c r="F321" s="1" t="s">
        <v>953</v>
      </c>
      <c r="G321" s="1" t="s">
        <v>50</v>
      </c>
      <c r="H321" s="1" t="s">
        <v>32</v>
      </c>
      <c r="I321" s="1" t="s">
        <v>18</v>
      </c>
      <c r="J321" s="1">
        <v>40</v>
      </c>
      <c r="K321" s="1" t="s">
        <v>25</v>
      </c>
      <c r="L321" s="3">
        <v>122000</v>
      </c>
      <c r="M321" s="3">
        <v>122000</v>
      </c>
      <c r="N321" s="1" t="s">
        <v>26</v>
      </c>
      <c r="O321" s="5" t="str" cm="1">
        <f t="array" ref="O321">_xlfn.IFS(Table1[[#This Row],[Age]]&lt;25,"Young",Table1[[#This Row],[Age]]&lt;45,"Adult",Table1[[#This Row],[Age]]&gt;=45,"Old")</f>
        <v>Adult</v>
      </c>
    </row>
    <row r="322" spans="1:15" x14ac:dyDescent="0.25">
      <c r="A322" s="1">
        <v>2932</v>
      </c>
      <c r="B322" s="1" t="s">
        <v>498</v>
      </c>
      <c r="C322" s="1" t="s">
        <v>23</v>
      </c>
      <c r="D322" s="1">
        <v>47</v>
      </c>
      <c r="E322" s="1">
        <v>17</v>
      </c>
      <c r="F322" s="1" t="s">
        <v>953</v>
      </c>
      <c r="G322" s="1" t="s">
        <v>45</v>
      </c>
      <c r="H322" s="1" t="s">
        <v>24</v>
      </c>
      <c r="I322" s="1" t="s">
        <v>51</v>
      </c>
      <c r="J322" s="1">
        <v>8</v>
      </c>
      <c r="K322" s="1" t="s">
        <v>25</v>
      </c>
      <c r="L322" s="3">
        <v>115059</v>
      </c>
      <c r="M322" s="3">
        <v>23011.8</v>
      </c>
      <c r="N322" s="1" t="s">
        <v>20</v>
      </c>
      <c r="O322" s="5" t="str" cm="1">
        <f t="array" ref="O322">_xlfn.IFS(Table1[[#This Row],[Age]]&lt;25,"Young",Table1[[#This Row],[Age]]&lt;45,"Adult",Table1[[#This Row],[Age]]&gt;=45,"Old")</f>
        <v>Old</v>
      </c>
    </row>
    <row r="323" spans="1:15" x14ac:dyDescent="0.25">
      <c r="A323" s="1">
        <v>20185</v>
      </c>
      <c r="B323" s="1" t="s">
        <v>65</v>
      </c>
      <c r="C323" s="1" t="s">
        <v>499</v>
      </c>
      <c r="D323" s="1">
        <v>40</v>
      </c>
      <c r="E323" s="1">
        <v>6</v>
      </c>
      <c r="F323" s="1" t="s">
        <v>953</v>
      </c>
      <c r="G323" s="1" t="s">
        <v>23</v>
      </c>
      <c r="H323" s="1" t="s">
        <v>24</v>
      </c>
      <c r="I323" s="1" t="s">
        <v>18</v>
      </c>
      <c r="J323" s="1">
        <v>32</v>
      </c>
      <c r="K323" s="1" t="s">
        <v>19</v>
      </c>
      <c r="L323" s="3">
        <v>129630</v>
      </c>
      <c r="M323" s="3">
        <v>103704</v>
      </c>
      <c r="N323" s="1" t="s">
        <v>29</v>
      </c>
      <c r="O323" s="5" t="str" cm="1">
        <f t="array" ref="O323">_xlfn.IFS(Table1[[#This Row],[Age]]&lt;25,"Young",Table1[[#This Row],[Age]]&lt;45,"Adult",Table1[[#This Row],[Age]]&gt;=45,"Old")</f>
        <v>Adult</v>
      </c>
    </row>
    <row r="324" spans="1:15" x14ac:dyDescent="0.25">
      <c r="A324" s="1">
        <v>2913</v>
      </c>
      <c r="B324" s="1" t="s">
        <v>397</v>
      </c>
      <c r="C324" s="1" t="s">
        <v>15</v>
      </c>
      <c r="D324" s="1">
        <v>37</v>
      </c>
      <c r="E324" s="1">
        <v>0</v>
      </c>
      <c r="F324" s="1" t="s">
        <v>954</v>
      </c>
      <c r="G324" s="1" t="s">
        <v>45</v>
      </c>
      <c r="H324" s="1" t="s">
        <v>24</v>
      </c>
      <c r="I324" s="1" t="s">
        <v>18</v>
      </c>
      <c r="J324" s="1">
        <v>40</v>
      </c>
      <c r="K324" s="1" t="s">
        <v>25</v>
      </c>
      <c r="L324" s="3">
        <v>100461</v>
      </c>
      <c r="M324" s="3">
        <v>100461</v>
      </c>
      <c r="N324" s="1" t="s">
        <v>26</v>
      </c>
      <c r="O324" s="5" t="str" cm="1">
        <f t="array" ref="O324">_xlfn.IFS(Table1[[#This Row],[Age]]&lt;25,"Young",Table1[[#This Row],[Age]]&lt;45,"Adult",Table1[[#This Row],[Age]]&gt;=45,"Old")</f>
        <v>Adult</v>
      </c>
    </row>
    <row r="325" spans="1:15" x14ac:dyDescent="0.25">
      <c r="A325" s="1">
        <v>8394</v>
      </c>
      <c r="B325" s="1" t="s">
        <v>289</v>
      </c>
      <c r="C325" s="1" t="s">
        <v>500</v>
      </c>
      <c r="D325" s="1">
        <v>47</v>
      </c>
      <c r="E325" s="1">
        <v>26</v>
      </c>
      <c r="F325" s="1" t="s">
        <v>953</v>
      </c>
      <c r="G325" s="1" t="s">
        <v>50</v>
      </c>
      <c r="H325" s="1" t="s">
        <v>32</v>
      </c>
      <c r="I325" s="1" t="s">
        <v>18</v>
      </c>
      <c r="J325" s="1">
        <v>40</v>
      </c>
      <c r="K325" s="1" t="s">
        <v>25</v>
      </c>
      <c r="L325" s="3">
        <v>114086</v>
      </c>
      <c r="M325" s="3">
        <v>114086</v>
      </c>
      <c r="N325" s="1" t="s">
        <v>29</v>
      </c>
      <c r="O325" s="5" t="str" cm="1">
        <f t="array" ref="O325">_xlfn.IFS(Table1[[#This Row],[Age]]&lt;25,"Young",Table1[[#This Row],[Age]]&lt;45,"Adult",Table1[[#This Row],[Age]]&gt;=45,"Old")</f>
        <v>Old</v>
      </c>
    </row>
    <row r="326" spans="1:15" x14ac:dyDescent="0.25">
      <c r="A326" s="1">
        <v>13917</v>
      </c>
      <c r="B326" s="1" t="s">
        <v>276</v>
      </c>
      <c r="C326" s="1" t="s">
        <v>501</v>
      </c>
      <c r="D326" s="1">
        <v>27</v>
      </c>
      <c r="E326" s="1">
        <v>1</v>
      </c>
      <c r="F326" s="1" t="s">
        <v>953</v>
      </c>
      <c r="G326" s="1" t="s">
        <v>50</v>
      </c>
      <c r="H326" s="1" t="s">
        <v>36</v>
      </c>
      <c r="I326" s="1" t="s">
        <v>18</v>
      </c>
      <c r="J326" s="1">
        <v>40</v>
      </c>
      <c r="K326" s="1" t="s">
        <v>25</v>
      </c>
      <c r="L326" s="3">
        <v>122000</v>
      </c>
      <c r="M326" s="3">
        <v>122000</v>
      </c>
      <c r="N326" s="1" t="s">
        <v>26</v>
      </c>
      <c r="O326" s="5" t="str" cm="1">
        <f t="array" ref="O326">_xlfn.IFS(Table1[[#This Row],[Age]]&lt;25,"Young",Table1[[#This Row],[Age]]&lt;45,"Adult",Table1[[#This Row],[Age]]&gt;=45,"Old")</f>
        <v>Adult</v>
      </c>
    </row>
    <row r="327" spans="1:15" x14ac:dyDescent="0.25">
      <c r="A327" s="1">
        <v>4615</v>
      </c>
      <c r="B327" s="1" t="s">
        <v>394</v>
      </c>
      <c r="C327" s="1" t="s">
        <v>502</v>
      </c>
      <c r="D327" s="1">
        <v>45</v>
      </c>
      <c r="E327" s="1">
        <v>23</v>
      </c>
      <c r="F327" s="1" t="s">
        <v>953</v>
      </c>
      <c r="G327" s="1" t="s">
        <v>16</v>
      </c>
      <c r="H327" s="1" t="s">
        <v>36</v>
      </c>
      <c r="I327" s="1" t="s">
        <v>18</v>
      </c>
      <c r="J327" s="1">
        <v>40</v>
      </c>
      <c r="K327" s="1" t="s">
        <v>37</v>
      </c>
      <c r="L327" s="3">
        <v>107000</v>
      </c>
      <c r="M327" s="3">
        <v>107000</v>
      </c>
      <c r="N327" s="1" t="s">
        <v>26</v>
      </c>
      <c r="O327" s="5" t="str" cm="1">
        <f t="array" ref="O327">_xlfn.IFS(Table1[[#This Row],[Age]]&lt;25,"Young",Table1[[#This Row],[Age]]&lt;45,"Adult",Table1[[#This Row],[Age]]&gt;=45,"Old")</f>
        <v>Old</v>
      </c>
    </row>
    <row r="328" spans="1:15" x14ac:dyDescent="0.25">
      <c r="A328" s="1">
        <v>19354</v>
      </c>
      <c r="B328" s="1" t="s">
        <v>503</v>
      </c>
      <c r="C328" s="1" t="s">
        <v>136</v>
      </c>
      <c r="D328" s="1">
        <v>35</v>
      </c>
      <c r="E328" s="1">
        <v>14</v>
      </c>
      <c r="F328" s="1" t="s">
        <v>954</v>
      </c>
      <c r="G328" s="1" t="s">
        <v>45</v>
      </c>
      <c r="H328" s="1" t="s">
        <v>24</v>
      </c>
      <c r="I328" s="1" t="s">
        <v>18</v>
      </c>
      <c r="J328" s="1">
        <v>40</v>
      </c>
      <c r="K328" s="1" t="s">
        <v>19</v>
      </c>
      <c r="L328" s="3">
        <v>115000</v>
      </c>
      <c r="M328" s="3">
        <v>115000</v>
      </c>
      <c r="N328" s="1" t="s">
        <v>29</v>
      </c>
      <c r="O328" s="5" t="str" cm="1">
        <f t="array" ref="O328">_xlfn.IFS(Table1[[#This Row],[Age]]&lt;25,"Young",Table1[[#This Row],[Age]]&lt;45,"Adult",Table1[[#This Row],[Age]]&gt;=45,"Old")</f>
        <v>Adult</v>
      </c>
    </row>
    <row r="329" spans="1:15" x14ac:dyDescent="0.25">
      <c r="A329" s="1">
        <v>8754</v>
      </c>
      <c r="B329" s="1" t="s">
        <v>504</v>
      </c>
      <c r="C329" s="1" t="s">
        <v>130</v>
      </c>
      <c r="D329" s="1">
        <v>32</v>
      </c>
      <c r="E329" s="1">
        <v>2</v>
      </c>
      <c r="F329" s="1" t="s">
        <v>954</v>
      </c>
      <c r="G329" s="1" t="s">
        <v>50</v>
      </c>
      <c r="H329" s="1" t="s">
        <v>32</v>
      </c>
      <c r="I329" s="1" t="s">
        <v>18</v>
      </c>
      <c r="J329" s="1">
        <v>32</v>
      </c>
      <c r="K329" s="1" t="s">
        <v>42</v>
      </c>
      <c r="L329" s="3">
        <v>68000</v>
      </c>
      <c r="M329" s="3">
        <v>54400</v>
      </c>
      <c r="N329" s="1" t="s">
        <v>20</v>
      </c>
      <c r="O329" s="5" t="str" cm="1">
        <f t="array" ref="O329">_xlfn.IFS(Table1[[#This Row],[Age]]&lt;25,"Young",Table1[[#This Row],[Age]]&lt;45,"Adult",Table1[[#This Row],[Age]]&gt;=45,"Old")</f>
        <v>Adult</v>
      </c>
    </row>
    <row r="330" spans="1:15" x14ac:dyDescent="0.25">
      <c r="A330" s="1">
        <v>19657</v>
      </c>
      <c r="B330" s="1" t="s">
        <v>505</v>
      </c>
      <c r="C330" s="1" t="s">
        <v>506</v>
      </c>
      <c r="D330" s="1">
        <v>50</v>
      </c>
      <c r="E330" s="1">
        <v>25</v>
      </c>
      <c r="F330" s="1" t="s">
        <v>954</v>
      </c>
      <c r="G330" s="1" t="s">
        <v>16</v>
      </c>
      <c r="H330" s="1" t="s">
        <v>119</v>
      </c>
      <c r="I330" s="1" t="s">
        <v>51</v>
      </c>
      <c r="J330" s="1">
        <v>40</v>
      </c>
      <c r="K330" s="1" t="s">
        <v>52</v>
      </c>
      <c r="L330" s="3">
        <v>134657</v>
      </c>
      <c r="M330" s="3">
        <v>168321.25</v>
      </c>
      <c r="N330" s="1" t="s">
        <v>20</v>
      </c>
      <c r="O330" s="5" t="str" cm="1">
        <f t="array" ref="O330">_xlfn.IFS(Table1[[#This Row],[Age]]&lt;25,"Young",Table1[[#This Row],[Age]]&lt;45,"Adult",Table1[[#This Row],[Age]]&gt;=45,"Old")</f>
        <v>Old</v>
      </c>
    </row>
    <row r="331" spans="1:15" x14ac:dyDescent="0.25">
      <c r="A331" s="1">
        <v>20168</v>
      </c>
      <c r="B331" s="1" t="s">
        <v>369</v>
      </c>
      <c r="C331" s="1" t="s">
        <v>507</v>
      </c>
      <c r="D331" s="1">
        <v>46</v>
      </c>
      <c r="E331" s="1">
        <v>15</v>
      </c>
      <c r="F331" s="1" t="s">
        <v>953</v>
      </c>
      <c r="G331" s="1" t="s">
        <v>16</v>
      </c>
      <c r="H331" s="1" t="s">
        <v>32</v>
      </c>
      <c r="I331" s="1" t="s">
        <v>18</v>
      </c>
      <c r="J331" s="1">
        <v>40</v>
      </c>
      <c r="K331" s="1" t="s">
        <v>37</v>
      </c>
      <c r="L331" s="3">
        <v>107000</v>
      </c>
      <c r="M331" s="3">
        <v>107000</v>
      </c>
      <c r="N331" s="1" t="s">
        <v>26</v>
      </c>
      <c r="O331" s="5" t="str" cm="1">
        <f t="array" ref="O331">_xlfn.IFS(Table1[[#This Row],[Age]]&lt;25,"Young",Table1[[#This Row],[Age]]&lt;45,"Adult",Table1[[#This Row],[Age]]&gt;=45,"Old")</f>
        <v>Old</v>
      </c>
    </row>
    <row r="332" spans="1:15" x14ac:dyDescent="0.25">
      <c r="A332" s="1">
        <v>1989</v>
      </c>
      <c r="B332" s="1" t="s">
        <v>72</v>
      </c>
      <c r="C332" s="1" t="s">
        <v>508</v>
      </c>
      <c r="D332" s="1">
        <v>61</v>
      </c>
      <c r="E332" s="1">
        <v>3</v>
      </c>
      <c r="F332" s="1" t="s">
        <v>953</v>
      </c>
      <c r="G332" s="1" t="s">
        <v>45</v>
      </c>
      <c r="H332" s="1" t="s">
        <v>24</v>
      </c>
      <c r="I332" s="1" t="s">
        <v>18</v>
      </c>
      <c r="J332" s="1">
        <v>20</v>
      </c>
      <c r="K332" s="1" t="s">
        <v>25</v>
      </c>
      <c r="L332" s="3">
        <v>105840</v>
      </c>
      <c r="M332" s="3">
        <v>52920</v>
      </c>
      <c r="N332" s="1" t="s">
        <v>20</v>
      </c>
      <c r="O332" s="5" t="str" cm="1">
        <f t="array" ref="O332">_xlfn.IFS(Table1[[#This Row],[Age]]&lt;25,"Young",Table1[[#This Row],[Age]]&lt;45,"Adult",Table1[[#This Row],[Age]]&gt;=45,"Old")</f>
        <v>Old</v>
      </c>
    </row>
    <row r="333" spans="1:15" x14ac:dyDescent="0.25">
      <c r="A333" s="1">
        <v>20982</v>
      </c>
      <c r="B333" s="1" t="s">
        <v>363</v>
      </c>
      <c r="C333" s="1" t="s">
        <v>509</v>
      </c>
      <c r="D333" s="1">
        <v>39</v>
      </c>
      <c r="E333" s="1">
        <v>12</v>
      </c>
      <c r="F333" s="1" t="s">
        <v>953</v>
      </c>
      <c r="G333" s="1" t="s">
        <v>16</v>
      </c>
      <c r="H333" s="1" t="s">
        <v>36</v>
      </c>
      <c r="I333" s="1" t="s">
        <v>18</v>
      </c>
      <c r="J333" s="1">
        <v>40</v>
      </c>
      <c r="K333" s="1" t="s">
        <v>19</v>
      </c>
      <c r="L333" s="3">
        <v>136917</v>
      </c>
      <c r="M333" s="3">
        <v>136917</v>
      </c>
      <c r="N333" s="1" t="s">
        <v>26</v>
      </c>
      <c r="O333" s="5" t="str" cm="1">
        <f t="array" ref="O333">_xlfn.IFS(Table1[[#This Row],[Age]]&lt;25,"Young",Table1[[#This Row],[Age]]&lt;45,"Adult",Table1[[#This Row],[Age]]&gt;=45,"Old")</f>
        <v>Adult</v>
      </c>
    </row>
    <row r="334" spans="1:15" x14ac:dyDescent="0.25">
      <c r="A334" s="1">
        <v>3373</v>
      </c>
      <c r="B334" s="1" t="s">
        <v>510</v>
      </c>
      <c r="C334" s="1" t="s">
        <v>111</v>
      </c>
      <c r="D334" s="1">
        <v>35</v>
      </c>
      <c r="E334" s="1">
        <v>2</v>
      </c>
      <c r="F334" s="1" t="s">
        <v>954</v>
      </c>
      <c r="G334" s="1" t="s">
        <v>35</v>
      </c>
      <c r="H334" s="1" t="s">
        <v>32</v>
      </c>
      <c r="I334" s="1" t="s">
        <v>51</v>
      </c>
      <c r="J334" s="1">
        <v>20</v>
      </c>
      <c r="K334" s="1" t="s">
        <v>42</v>
      </c>
      <c r="L334" s="3">
        <v>68000</v>
      </c>
      <c r="M334" s="3">
        <v>34000</v>
      </c>
      <c r="N334" s="1" t="s">
        <v>20</v>
      </c>
      <c r="O334" s="5" t="str" cm="1">
        <f t="array" ref="O334">_xlfn.IFS(Table1[[#This Row],[Age]]&lt;25,"Young",Table1[[#This Row],[Age]]&lt;45,"Adult",Table1[[#This Row],[Age]]&gt;=45,"Old")</f>
        <v>Adult</v>
      </c>
    </row>
    <row r="335" spans="1:15" x14ac:dyDescent="0.25">
      <c r="A335" s="1">
        <v>14424</v>
      </c>
      <c r="B335" s="1" t="s">
        <v>511</v>
      </c>
      <c r="C335" s="1" t="s">
        <v>512</v>
      </c>
      <c r="D335" s="1">
        <v>33</v>
      </c>
      <c r="E335" s="1">
        <v>5</v>
      </c>
      <c r="F335" s="1" t="s">
        <v>953</v>
      </c>
      <c r="G335" s="1" t="s">
        <v>23</v>
      </c>
      <c r="H335" s="1" t="s">
        <v>36</v>
      </c>
      <c r="I335" s="1" t="s">
        <v>18</v>
      </c>
      <c r="J335" s="1">
        <v>40</v>
      </c>
      <c r="K335" s="1" t="s">
        <v>25</v>
      </c>
      <c r="L335" s="3">
        <v>122000</v>
      </c>
      <c r="M335" s="3">
        <v>122000</v>
      </c>
      <c r="N335" s="1" t="s">
        <v>26</v>
      </c>
      <c r="O335" s="5" t="str" cm="1">
        <f t="array" ref="O335">_xlfn.IFS(Table1[[#This Row],[Age]]&lt;25,"Young",Table1[[#This Row],[Age]]&lt;45,"Adult",Table1[[#This Row],[Age]]&gt;=45,"Old")</f>
        <v>Adult</v>
      </c>
    </row>
    <row r="336" spans="1:15" x14ac:dyDescent="0.25">
      <c r="A336" s="1">
        <v>22227</v>
      </c>
      <c r="B336" s="1" t="s">
        <v>325</v>
      </c>
      <c r="C336" s="1" t="s">
        <v>513</v>
      </c>
      <c r="D336" s="1">
        <v>42</v>
      </c>
      <c r="E336" s="1">
        <v>9</v>
      </c>
      <c r="F336" s="1" t="s">
        <v>954</v>
      </c>
      <c r="G336" s="1" t="s">
        <v>23</v>
      </c>
      <c r="H336" s="1" t="s">
        <v>24</v>
      </c>
      <c r="I336" s="1" t="s">
        <v>18</v>
      </c>
      <c r="J336" s="1">
        <v>20</v>
      </c>
      <c r="K336" s="1" t="s">
        <v>25</v>
      </c>
      <c r="L336" s="3">
        <v>98000</v>
      </c>
      <c r="M336" s="3">
        <v>49000</v>
      </c>
      <c r="N336" s="1" t="s">
        <v>20</v>
      </c>
      <c r="O336" s="5" t="str" cm="1">
        <f t="array" ref="O336">_xlfn.IFS(Table1[[#This Row],[Age]]&lt;25,"Young",Table1[[#This Row],[Age]]&lt;45,"Adult",Table1[[#This Row],[Age]]&gt;=45,"Old")</f>
        <v>Adult</v>
      </c>
    </row>
    <row r="337" spans="1:15" x14ac:dyDescent="0.25">
      <c r="A337" s="1">
        <v>19812</v>
      </c>
      <c r="B337" s="1" t="s">
        <v>503</v>
      </c>
      <c r="C337" s="1" t="s">
        <v>514</v>
      </c>
      <c r="D337" s="1">
        <v>41</v>
      </c>
      <c r="E337" s="1">
        <v>16</v>
      </c>
      <c r="F337" s="1" t="s">
        <v>954</v>
      </c>
      <c r="G337" s="1" t="s">
        <v>35</v>
      </c>
      <c r="H337" s="1" t="s">
        <v>192</v>
      </c>
      <c r="I337" s="1" t="s">
        <v>51</v>
      </c>
      <c r="J337" s="1">
        <v>8</v>
      </c>
      <c r="K337" s="1" t="s">
        <v>52</v>
      </c>
      <c r="L337" s="3">
        <v>130000</v>
      </c>
      <c r="M337" s="3">
        <v>26000</v>
      </c>
      <c r="N337" s="1" t="s">
        <v>29</v>
      </c>
      <c r="O337" s="5" t="str" cm="1">
        <f t="array" ref="O337">_xlfn.IFS(Table1[[#This Row],[Age]]&lt;25,"Young",Table1[[#This Row],[Age]]&lt;45,"Adult",Table1[[#This Row],[Age]]&gt;=45,"Old")</f>
        <v>Adult</v>
      </c>
    </row>
    <row r="338" spans="1:15" x14ac:dyDescent="0.25">
      <c r="A338" s="1">
        <v>3726</v>
      </c>
      <c r="B338" s="1" t="s">
        <v>106</v>
      </c>
      <c r="C338" s="1" t="s">
        <v>107</v>
      </c>
      <c r="D338" s="1">
        <v>38</v>
      </c>
      <c r="E338" s="1">
        <v>2</v>
      </c>
      <c r="F338" s="1" t="s">
        <v>953</v>
      </c>
      <c r="G338" s="1" t="s">
        <v>16</v>
      </c>
      <c r="H338" s="1" t="s">
        <v>24</v>
      </c>
      <c r="I338" s="1" t="s">
        <v>18</v>
      </c>
      <c r="J338" s="1">
        <v>20</v>
      </c>
      <c r="K338" s="1" t="s">
        <v>25</v>
      </c>
      <c r="L338" s="3">
        <v>122000</v>
      </c>
      <c r="M338" s="3">
        <v>61000</v>
      </c>
      <c r="N338" s="1" t="s">
        <v>26</v>
      </c>
      <c r="O338" s="5" t="str" cm="1">
        <f t="array" ref="O338">_xlfn.IFS(Table1[[#This Row],[Age]]&lt;25,"Young",Table1[[#This Row],[Age]]&lt;45,"Adult",Table1[[#This Row],[Age]]&gt;=45,"Old")</f>
        <v>Adult</v>
      </c>
    </row>
    <row r="339" spans="1:15" x14ac:dyDescent="0.25">
      <c r="A339" s="1">
        <v>19208</v>
      </c>
      <c r="B339" s="1" t="s">
        <v>333</v>
      </c>
      <c r="C339" s="1" t="s">
        <v>515</v>
      </c>
      <c r="D339" s="1">
        <v>35</v>
      </c>
      <c r="E339" s="1">
        <v>14</v>
      </c>
      <c r="F339" s="1" t="s">
        <v>954</v>
      </c>
      <c r="G339" s="1" t="s">
        <v>16</v>
      </c>
      <c r="H339" s="1" t="s">
        <v>36</v>
      </c>
      <c r="I339" s="1" t="s">
        <v>18</v>
      </c>
      <c r="J339" s="1">
        <v>40</v>
      </c>
      <c r="K339" s="1" t="s">
        <v>37</v>
      </c>
      <c r="L339" s="3">
        <v>85750</v>
      </c>
      <c r="M339" s="3">
        <v>85750</v>
      </c>
      <c r="N339" s="1" t="s">
        <v>20</v>
      </c>
      <c r="O339" s="5" t="str" cm="1">
        <f t="array" ref="O339">_xlfn.IFS(Table1[[#This Row],[Age]]&lt;25,"Young",Table1[[#This Row],[Age]]&lt;45,"Adult",Table1[[#This Row],[Age]]&gt;=45,"Old")</f>
        <v>Adult</v>
      </c>
    </row>
    <row r="340" spans="1:15" x14ac:dyDescent="0.25">
      <c r="A340" s="1">
        <v>17817</v>
      </c>
      <c r="B340" s="1" t="s">
        <v>510</v>
      </c>
      <c r="C340" s="1" t="s">
        <v>516</v>
      </c>
      <c r="D340" s="1">
        <v>36</v>
      </c>
      <c r="E340" s="1">
        <v>13</v>
      </c>
      <c r="F340" s="1" t="s">
        <v>954</v>
      </c>
      <c r="G340" s="1" t="s">
        <v>23</v>
      </c>
      <c r="H340" s="1" t="s">
        <v>32</v>
      </c>
      <c r="I340" s="1" t="s">
        <v>18</v>
      </c>
      <c r="J340" s="1">
        <v>40</v>
      </c>
      <c r="K340" s="1" t="s">
        <v>37</v>
      </c>
      <c r="L340" s="3">
        <v>95739</v>
      </c>
      <c r="M340" s="3">
        <v>95739</v>
      </c>
      <c r="N340" s="1" t="s">
        <v>29</v>
      </c>
      <c r="O340" s="5" t="str" cm="1">
        <f t="array" ref="O340">_xlfn.IFS(Table1[[#This Row],[Age]]&lt;25,"Young",Table1[[#This Row],[Age]]&lt;45,"Adult",Table1[[#This Row],[Age]]&gt;=45,"Old")</f>
        <v>Adult</v>
      </c>
    </row>
    <row r="341" spans="1:15" x14ac:dyDescent="0.25">
      <c r="A341" s="1">
        <v>11053</v>
      </c>
      <c r="B341" s="1" t="s">
        <v>517</v>
      </c>
      <c r="C341" s="1" t="s">
        <v>518</v>
      </c>
      <c r="D341" s="1">
        <v>38</v>
      </c>
      <c r="E341" s="1">
        <v>9</v>
      </c>
      <c r="F341" s="1" t="s">
        <v>953</v>
      </c>
      <c r="G341" s="1" t="s">
        <v>35</v>
      </c>
      <c r="H341" s="1" t="s">
        <v>24</v>
      </c>
      <c r="I341" s="1" t="s">
        <v>51</v>
      </c>
      <c r="J341" s="1">
        <v>32</v>
      </c>
      <c r="K341" s="1" t="s">
        <v>37</v>
      </c>
      <c r="L341" s="3">
        <v>94103</v>
      </c>
      <c r="M341" s="3">
        <v>75282.399999999994</v>
      </c>
      <c r="N341" s="1" t="s">
        <v>29</v>
      </c>
      <c r="O341" s="5" t="str" cm="1">
        <f t="array" ref="O341">_xlfn.IFS(Table1[[#This Row],[Age]]&lt;25,"Young",Table1[[#This Row],[Age]]&lt;45,"Adult",Table1[[#This Row],[Age]]&gt;=45,"Old")</f>
        <v>Adult</v>
      </c>
    </row>
    <row r="342" spans="1:15" x14ac:dyDescent="0.25">
      <c r="A342" s="1">
        <v>9231</v>
      </c>
      <c r="B342" s="1" t="s">
        <v>519</v>
      </c>
      <c r="C342" s="1" t="s">
        <v>520</v>
      </c>
      <c r="D342" s="1">
        <v>50</v>
      </c>
      <c r="E342" s="1">
        <v>6</v>
      </c>
      <c r="F342" s="1" t="s">
        <v>953</v>
      </c>
      <c r="G342" s="1" t="s">
        <v>45</v>
      </c>
      <c r="H342" s="1" t="s">
        <v>32</v>
      </c>
      <c r="I342" s="1" t="s">
        <v>51</v>
      </c>
      <c r="J342" s="1">
        <v>8</v>
      </c>
      <c r="K342" s="1" t="s">
        <v>42</v>
      </c>
      <c r="L342" s="3">
        <v>73932</v>
      </c>
      <c r="M342" s="3">
        <v>14786.4</v>
      </c>
      <c r="N342" s="1" t="s">
        <v>20</v>
      </c>
      <c r="O342" s="5" t="str" cm="1">
        <f t="array" ref="O342">_xlfn.IFS(Table1[[#This Row],[Age]]&lt;25,"Young",Table1[[#This Row],[Age]]&lt;45,"Adult",Table1[[#This Row],[Age]]&gt;=45,"Old")</f>
        <v>Old</v>
      </c>
    </row>
    <row r="343" spans="1:15" x14ac:dyDescent="0.25">
      <c r="A343" s="1">
        <v>7380</v>
      </c>
      <c r="B343" s="1" t="s">
        <v>521</v>
      </c>
      <c r="C343" s="1" t="s">
        <v>297</v>
      </c>
      <c r="D343" s="1">
        <v>37</v>
      </c>
      <c r="E343" s="1">
        <v>16</v>
      </c>
      <c r="F343" s="1" t="s">
        <v>954</v>
      </c>
      <c r="G343" s="1" t="s">
        <v>45</v>
      </c>
      <c r="H343" s="1" t="s">
        <v>64</v>
      </c>
      <c r="I343" s="1" t="s">
        <v>18</v>
      </c>
      <c r="J343" s="1">
        <v>40</v>
      </c>
      <c r="K343" s="1" t="s">
        <v>52</v>
      </c>
      <c r="L343" s="3">
        <v>135970</v>
      </c>
      <c r="M343" s="3">
        <v>135970</v>
      </c>
      <c r="N343" s="1" t="s">
        <v>26</v>
      </c>
      <c r="O343" s="5" t="str" cm="1">
        <f t="array" ref="O343">_xlfn.IFS(Table1[[#This Row],[Age]]&lt;25,"Young",Table1[[#This Row],[Age]]&lt;45,"Adult",Table1[[#This Row],[Age]]&gt;=45,"Old")</f>
        <v>Adult</v>
      </c>
    </row>
    <row r="344" spans="1:15" x14ac:dyDescent="0.25">
      <c r="A344" s="1">
        <v>22632</v>
      </c>
      <c r="B344" s="1" t="s">
        <v>522</v>
      </c>
      <c r="C344" s="1" t="s">
        <v>88</v>
      </c>
      <c r="D344" s="1">
        <v>28</v>
      </c>
      <c r="E344" s="1">
        <v>1</v>
      </c>
      <c r="F344" s="1" t="s">
        <v>954</v>
      </c>
      <c r="G344" s="1" t="s">
        <v>45</v>
      </c>
      <c r="H344" s="1" t="s">
        <v>24</v>
      </c>
      <c r="I344" s="1" t="s">
        <v>18</v>
      </c>
      <c r="J344" s="1">
        <v>40</v>
      </c>
      <c r="K344" s="1" t="s">
        <v>25</v>
      </c>
      <c r="L344" s="3">
        <v>104125</v>
      </c>
      <c r="M344" s="3">
        <v>104125</v>
      </c>
      <c r="N344" s="1" t="s">
        <v>29</v>
      </c>
      <c r="O344" s="5" t="str" cm="1">
        <f t="array" ref="O344">_xlfn.IFS(Table1[[#This Row],[Age]]&lt;25,"Young",Table1[[#This Row],[Age]]&lt;45,"Adult",Table1[[#This Row],[Age]]&gt;=45,"Old")</f>
        <v>Adult</v>
      </c>
    </row>
    <row r="345" spans="1:15" x14ac:dyDescent="0.25">
      <c r="A345" s="1">
        <v>12328</v>
      </c>
      <c r="B345" s="1" t="s">
        <v>72</v>
      </c>
      <c r="C345" s="1" t="s">
        <v>164</v>
      </c>
      <c r="D345" s="1">
        <v>49</v>
      </c>
      <c r="E345" s="1">
        <v>5</v>
      </c>
      <c r="F345" s="1" t="s">
        <v>953</v>
      </c>
      <c r="G345" s="1" t="s">
        <v>23</v>
      </c>
      <c r="H345" s="1" t="s">
        <v>24</v>
      </c>
      <c r="I345" s="1" t="s">
        <v>18</v>
      </c>
      <c r="J345" s="1">
        <v>20</v>
      </c>
      <c r="K345" s="1" t="s">
        <v>25</v>
      </c>
      <c r="L345" s="3">
        <v>122000</v>
      </c>
      <c r="M345" s="3">
        <v>61000</v>
      </c>
      <c r="N345" s="1" t="s">
        <v>26</v>
      </c>
      <c r="O345" s="5" t="str" cm="1">
        <f t="array" ref="O345">_xlfn.IFS(Table1[[#This Row],[Age]]&lt;25,"Young",Table1[[#This Row],[Age]]&lt;45,"Adult",Table1[[#This Row],[Age]]&gt;=45,"Old")</f>
        <v>Old</v>
      </c>
    </row>
    <row r="346" spans="1:15" x14ac:dyDescent="0.25">
      <c r="A346" s="1">
        <v>3856</v>
      </c>
      <c r="B346" s="1" t="s">
        <v>110</v>
      </c>
      <c r="C346" s="1" t="s">
        <v>111</v>
      </c>
      <c r="D346" s="1">
        <v>34</v>
      </c>
      <c r="E346" s="1">
        <v>7</v>
      </c>
      <c r="F346" s="1" t="s">
        <v>953</v>
      </c>
      <c r="G346" s="1" t="s">
        <v>23</v>
      </c>
      <c r="H346" s="1" t="s">
        <v>17</v>
      </c>
      <c r="I346" s="1" t="s">
        <v>18</v>
      </c>
      <c r="J346" s="1">
        <v>20</v>
      </c>
      <c r="K346" s="1" t="s">
        <v>37</v>
      </c>
      <c r="L346" s="3">
        <v>106974</v>
      </c>
      <c r="M346" s="3">
        <v>53487</v>
      </c>
      <c r="N346" s="1" t="s">
        <v>26</v>
      </c>
      <c r="O346" s="5" t="str" cm="1">
        <f t="array" ref="O346">_xlfn.IFS(Table1[[#This Row],[Age]]&lt;25,"Young",Table1[[#This Row],[Age]]&lt;45,"Adult",Table1[[#This Row],[Age]]&gt;=45,"Old")</f>
        <v>Adult</v>
      </c>
    </row>
    <row r="347" spans="1:15" x14ac:dyDescent="0.25">
      <c r="A347" s="1">
        <v>10982</v>
      </c>
      <c r="B347" s="1" t="s">
        <v>523</v>
      </c>
      <c r="C347" s="1" t="s">
        <v>524</v>
      </c>
      <c r="D347" s="1">
        <v>38</v>
      </c>
      <c r="E347" s="1">
        <v>14</v>
      </c>
      <c r="F347" s="1" t="s">
        <v>954</v>
      </c>
      <c r="G347" s="1" t="s">
        <v>45</v>
      </c>
      <c r="H347" s="1" t="s">
        <v>24</v>
      </c>
      <c r="I347" s="1" t="s">
        <v>18</v>
      </c>
      <c r="J347" s="1">
        <v>20</v>
      </c>
      <c r="K347" s="1" t="s">
        <v>19</v>
      </c>
      <c r="L347" s="3">
        <v>115000</v>
      </c>
      <c r="M347" s="3">
        <v>57500</v>
      </c>
      <c r="N347" s="1" t="s">
        <v>29</v>
      </c>
      <c r="O347" s="5" t="str" cm="1">
        <f t="array" ref="O347">_xlfn.IFS(Table1[[#This Row],[Age]]&lt;25,"Young",Table1[[#This Row],[Age]]&lt;45,"Adult",Table1[[#This Row],[Age]]&gt;=45,"Old")</f>
        <v>Adult</v>
      </c>
    </row>
    <row r="348" spans="1:15" x14ac:dyDescent="0.25">
      <c r="A348" s="1">
        <v>8508</v>
      </c>
      <c r="B348" s="1" t="s">
        <v>525</v>
      </c>
      <c r="C348" s="1" t="s">
        <v>526</v>
      </c>
      <c r="D348" s="1">
        <v>32</v>
      </c>
      <c r="E348" s="1">
        <v>1</v>
      </c>
      <c r="F348" s="1" t="s">
        <v>954</v>
      </c>
      <c r="G348" s="1" t="s">
        <v>50</v>
      </c>
      <c r="H348" s="1" t="s">
        <v>24</v>
      </c>
      <c r="I348" s="1" t="s">
        <v>18</v>
      </c>
      <c r="J348" s="1">
        <v>32</v>
      </c>
      <c r="K348" s="1" t="s">
        <v>37</v>
      </c>
      <c r="L348" s="3">
        <v>85000</v>
      </c>
      <c r="M348" s="3">
        <v>68000</v>
      </c>
      <c r="N348" s="1" t="s">
        <v>26</v>
      </c>
      <c r="O348" s="5" t="str" cm="1">
        <f t="array" ref="O348">_xlfn.IFS(Table1[[#This Row],[Age]]&lt;25,"Young",Table1[[#This Row],[Age]]&lt;45,"Adult",Table1[[#This Row],[Age]]&gt;=45,"Old")</f>
        <v>Adult</v>
      </c>
    </row>
    <row r="349" spans="1:15" x14ac:dyDescent="0.25">
      <c r="A349" s="1">
        <v>9390</v>
      </c>
      <c r="B349" s="1" t="s">
        <v>369</v>
      </c>
      <c r="C349" s="1" t="s">
        <v>83</v>
      </c>
      <c r="D349" s="1">
        <v>38</v>
      </c>
      <c r="E349" s="1">
        <v>16</v>
      </c>
      <c r="F349" s="1" t="s">
        <v>953</v>
      </c>
      <c r="G349" s="1" t="s">
        <v>50</v>
      </c>
      <c r="H349" s="1" t="s">
        <v>64</v>
      </c>
      <c r="I349" s="1" t="s">
        <v>51</v>
      </c>
      <c r="J349" s="1">
        <v>20</v>
      </c>
      <c r="K349" s="1" t="s">
        <v>19</v>
      </c>
      <c r="L349" s="3">
        <v>124200</v>
      </c>
      <c r="M349" s="3">
        <v>62100</v>
      </c>
      <c r="N349" s="1" t="s">
        <v>29</v>
      </c>
      <c r="O349" s="5" t="str" cm="1">
        <f t="array" ref="O349">_xlfn.IFS(Table1[[#This Row],[Age]]&lt;25,"Young",Table1[[#This Row],[Age]]&lt;45,"Adult",Table1[[#This Row],[Age]]&gt;=45,"Old")</f>
        <v>Adult</v>
      </c>
    </row>
    <row r="350" spans="1:15" x14ac:dyDescent="0.25">
      <c r="A350" s="1">
        <v>13656</v>
      </c>
      <c r="B350" s="1" t="s">
        <v>527</v>
      </c>
      <c r="C350" s="1" t="s">
        <v>528</v>
      </c>
      <c r="D350" s="1">
        <v>51</v>
      </c>
      <c r="E350" s="1">
        <v>8</v>
      </c>
      <c r="F350" s="1" t="s">
        <v>953</v>
      </c>
      <c r="G350" s="1" t="s">
        <v>45</v>
      </c>
      <c r="H350" s="1" t="s">
        <v>119</v>
      </c>
      <c r="I350" s="1" t="s">
        <v>51</v>
      </c>
      <c r="J350" s="1">
        <v>8</v>
      </c>
      <c r="K350" s="1" t="s">
        <v>52</v>
      </c>
      <c r="L350" s="3">
        <v>140400</v>
      </c>
      <c r="M350" s="3">
        <v>28080</v>
      </c>
      <c r="N350" s="1" t="s">
        <v>26</v>
      </c>
      <c r="O350" s="5" t="str" cm="1">
        <f t="array" ref="O350">_xlfn.IFS(Table1[[#This Row],[Age]]&lt;25,"Young",Table1[[#This Row],[Age]]&lt;45,"Adult",Table1[[#This Row],[Age]]&gt;=45,"Old")</f>
        <v>Old</v>
      </c>
    </row>
    <row r="351" spans="1:15" x14ac:dyDescent="0.25">
      <c r="A351" s="1">
        <v>4975</v>
      </c>
      <c r="B351" s="1" t="s">
        <v>529</v>
      </c>
      <c r="C351" s="1" t="s">
        <v>530</v>
      </c>
      <c r="D351" s="1">
        <v>32</v>
      </c>
      <c r="E351" s="1">
        <v>10</v>
      </c>
      <c r="F351" s="1" t="s">
        <v>954</v>
      </c>
      <c r="G351" s="1" t="s">
        <v>23</v>
      </c>
      <c r="H351" s="1" t="s">
        <v>64</v>
      </c>
      <c r="I351" s="1" t="s">
        <v>18</v>
      </c>
      <c r="J351" s="1">
        <v>32</v>
      </c>
      <c r="K351" s="1" t="s">
        <v>19</v>
      </c>
      <c r="L351" s="3">
        <v>115000</v>
      </c>
      <c r="M351" s="3">
        <v>92000</v>
      </c>
      <c r="N351" s="1" t="s">
        <v>20</v>
      </c>
      <c r="O351" s="5" t="str" cm="1">
        <f t="array" ref="O351">_xlfn.IFS(Table1[[#This Row],[Age]]&lt;25,"Young",Table1[[#This Row],[Age]]&lt;45,"Adult",Table1[[#This Row],[Age]]&gt;=45,"Old")</f>
        <v>Adult</v>
      </c>
    </row>
    <row r="352" spans="1:15" x14ac:dyDescent="0.25">
      <c r="A352" s="1">
        <v>21838</v>
      </c>
      <c r="B352" s="1" t="s">
        <v>531</v>
      </c>
      <c r="C352" s="1" t="s">
        <v>188</v>
      </c>
      <c r="D352" s="1">
        <v>64</v>
      </c>
      <c r="E352" s="1">
        <v>31</v>
      </c>
      <c r="F352" s="1" t="s">
        <v>954</v>
      </c>
      <c r="G352" s="1" t="s">
        <v>45</v>
      </c>
      <c r="H352" s="1" t="s">
        <v>24</v>
      </c>
      <c r="I352" s="1" t="s">
        <v>18</v>
      </c>
      <c r="J352" s="1">
        <v>20</v>
      </c>
      <c r="K352" s="1" t="s">
        <v>37</v>
      </c>
      <c r="L352" s="3">
        <v>85000</v>
      </c>
      <c r="M352" s="3">
        <v>42500</v>
      </c>
      <c r="N352" s="1" t="s">
        <v>20</v>
      </c>
      <c r="O352" s="5" t="str" cm="1">
        <f t="array" ref="O352">_xlfn.IFS(Table1[[#This Row],[Age]]&lt;25,"Young",Table1[[#This Row],[Age]]&lt;45,"Adult",Table1[[#This Row],[Age]]&gt;=45,"Old")</f>
        <v>Old</v>
      </c>
    </row>
    <row r="353" spans="1:15" x14ac:dyDescent="0.25">
      <c r="A353" s="1">
        <v>10517</v>
      </c>
      <c r="B353" s="1" t="s">
        <v>135</v>
      </c>
      <c r="C353" s="1" t="s">
        <v>418</v>
      </c>
      <c r="D353" s="1">
        <v>38</v>
      </c>
      <c r="E353" s="1">
        <v>6</v>
      </c>
      <c r="F353" s="1" t="s">
        <v>954</v>
      </c>
      <c r="G353" s="1" t="s">
        <v>16</v>
      </c>
      <c r="H353" s="1" t="s">
        <v>32</v>
      </c>
      <c r="I353" s="1" t="s">
        <v>18</v>
      </c>
      <c r="J353" s="1">
        <v>40</v>
      </c>
      <c r="K353" s="1" t="s">
        <v>42</v>
      </c>
      <c r="L353" s="3">
        <v>70974</v>
      </c>
      <c r="M353" s="3">
        <v>70974</v>
      </c>
      <c r="N353" s="1" t="s">
        <v>20</v>
      </c>
      <c r="O353" s="5" t="str" cm="1">
        <f t="array" ref="O353">_xlfn.IFS(Table1[[#This Row],[Age]]&lt;25,"Young",Table1[[#This Row],[Age]]&lt;45,"Adult",Table1[[#This Row],[Age]]&gt;=45,"Old")</f>
        <v>Adult</v>
      </c>
    </row>
    <row r="354" spans="1:15" x14ac:dyDescent="0.25">
      <c r="A354" s="1">
        <v>15669</v>
      </c>
      <c r="B354" s="1" t="s">
        <v>532</v>
      </c>
      <c r="C354" s="1" t="s">
        <v>533</v>
      </c>
      <c r="D354" s="1">
        <v>47</v>
      </c>
      <c r="E354" s="1">
        <v>18</v>
      </c>
      <c r="F354" s="1" t="s">
        <v>953</v>
      </c>
      <c r="G354" s="1" t="s">
        <v>50</v>
      </c>
      <c r="H354" s="1" t="s">
        <v>17</v>
      </c>
      <c r="I354" s="1" t="s">
        <v>18</v>
      </c>
      <c r="J354" s="1">
        <v>24</v>
      </c>
      <c r="K354" s="1" t="s">
        <v>19</v>
      </c>
      <c r="L354" s="3">
        <v>124200</v>
      </c>
      <c r="M354" s="3">
        <v>74520</v>
      </c>
      <c r="N354" s="1" t="s">
        <v>29</v>
      </c>
      <c r="O354" s="5" t="str" cm="1">
        <f t="array" ref="O354">_xlfn.IFS(Table1[[#This Row],[Age]]&lt;25,"Young",Table1[[#This Row],[Age]]&lt;45,"Adult",Table1[[#This Row],[Age]]&gt;=45,"Old")</f>
        <v>Old</v>
      </c>
    </row>
    <row r="355" spans="1:15" x14ac:dyDescent="0.25">
      <c r="A355" s="1">
        <v>11047</v>
      </c>
      <c r="B355" s="1" t="s">
        <v>534</v>
      </c>
      <c r="C355" s="1" t="s">
        <v>535</v>
      </c>
      <c r="D355" s="1">
        <v>47</v>
      </c>
      <c r="E355" s="1">
        <v>21</v>
      </c>
      <c r="F355" s="1" t="s">
        <v>954</v>
      </c>
      <c r="G355" s="1" t="s">
        <v>23</v>
      </c>
      <c r="H355" s="1" t="s">
        <v>36</v>
      </c>
      <c r="I355" s="1" t="s">
        <v>18</v>
      </c>
      <c r="J355" s="1">
        <v>40</v>
      </c>
      <c r="K355" s="1" t="s">
        <v>37</v>
      </c>
      <c r="L355" s="3">
        <v>85000</v>
      </c>
      <c r="M355" s="3">
        <v>85000</v>
      </c>
      <c r="N355" s="1" t="s">
        <v>26</v>
      </c>
      <c r="O355" s="5" t="str" cm="1">
        <f t="array" ref="O355">_xlfn.IFS(Table1[[#This Row],[Age]]&lt;25,"Young",Table1[[#This Row],[Age]]&lt;45,"Adult",Table1[[#This Row],[Age]]&gt;=45,"Old")</f>
        <v>Old</v>
      </c>
    </row>
    <row r="356" spans="1:15" x14ac:dyDescent="0.25">
      <c r="A356" s="1">
        <v>3064</v>
      </c>
      <c r="B356" s="1" t="s">
        <v>536</v>
      </c>
      <c r="C356" s="1" t="s">
        <v>537</v>
      </c>
      <c r="D356" s="1">
        <v>29</v>
      </c>
      <c r="E356" s="1">
        <v>2</v>
      </c>
      <c r="F356" s="1" t="s">
        <v>954</v>
      </c>
      <c r="G356" s="1" t="s">
        <v>23</v>
      </c>
      <c r="H356" s="1" t="s">
        <v>32</v>
      </c>
      <c r="I356" s="1" t="s">
        <v>18</v>
      </c>
      <c r="J356" s="1">
        <v>40</v>
      </c>
      <c r="K356" s="1" t="s">
        <v>37</v>
      </c>
      <c r="L356" s="3">
        <v>85000</v>
      </c>
      <c r="M356" s="3">
        <v>85000</v>
      </c>
      <c r="N356" s="1" t="s">
        <v>29</v>
      </c>
      <c r="O356" s="5" t="str" cm="1">
        <f t="array" ref="O356">_xlfn.IFS(Table1[[#This Row],[Age]]&lt;25,"Young",Table1[[#This Row],[Age]]&lt;45,"Adult",Table1[[#This Row],[Age]]&gt;=45,"Old")</f>
        <v>Adult</v>
      </c>
    </row>
    <row r="357" spans="1:15" x14ac:dyDescent="0.25">
      <c r="A357" s="1">
        <v>992</v>
      </c>
      <c r="B357" s="1" t="s">
        <v>117</v>
      </c>
      <c r="C357" s="1" t="s">
        <v>538</v>
      </c>
      <c r="D357" s="1">
        <v>28</v>
      </c>
      <c r="E357" s="1">
        <v>5</v>
      </c>
      <c r="F357" s="1" t="s">
        <v>953</v>
      </c>
      <c r="G357" s="1" t="s">
        <v>23</v>
      </c>
      <c r="H357" s="1" t="s">
        <v>32</v>
      </c>
      <c r="I357" s="1" t="s">
        <v>18</v>
      </c>
      <c r="J357" s="1">
        <v>32</v>
      </c>
      <c r="K357" s="1" t="s">
        <v>25</v>
      </c>
      <c r="L357" s="3">
        <v>116913</v>
      </c>
      <c r="M357" s="3">
        <v>93530.4</v>
      </c>
      <c r="N357" s="1" t="s">
        <v>26</v>
      </c>
      <c r="O357" s="5" t="str" cm="1">
        <f t="array" ref="O357">_xlfn.IFS(Table1[[#This Row],[Age]]&lt;25,"Young",Table1[[#This Row],[Age]]&lt;45,"Adult",Table1[[#This Row],[Age]]&gt;=45,"Old")</f>
        <v>Adult</v>
      </c>
    </row>
    <row r="358" spans="1:15" x14ac:dyDescent="0.25">
      <c r="A358" s="1">
        <v>15704</v>
      </c>
      <c r="B358" s="1" t="s">
        <v>539</v>
      </c>
      <c r="C358" s="1" t="s">
        <v>540</v>
      </c>
      <c r="D358" s="1">
        <v>59</v>
      </c>
      <c r="E358" s="1">
        <v>2</v>
      </c>
      <c r="F358" s="1" t="s">
        <v>953</v>
      </c>
      <c r="G358" s="1" t="s">
        <v>35</v>
      </c>
      <c r="H358" s="1" t="s">
        <v>64</v>
      </c>
      <c r="I358" s="1" t="s">
        <v>51</v>
      </c>
      <c r="J358" s="1">
        <v>16</v>
      </c>
      <c r="K358" s="1" t="s">
        <v>52</v>
      </c>
      <c r="L358" s="3">
        <v>140400</v>
      </c>
      <c r="M358" s="3">
        <v>56160</v>
      </c>
      <c r="N358" s="1" t="s">
        <v>29</v>
      </c>
      <c r="O358" s="5" t="str" cm="1">
        <f t="array" ref="O358">_xlfn.IFS(Table1[[#This Row],[Age]]&lt;25,"Young",Table1[[#This Row],[Age]]&lt;45,"Adult",Table1[[#This Row],[Age]]&gt;=45,"Old")</f>
        <v>Old</v>
      </c>
    </row>
    <row r="359" spans="1:15" x14ac:dyDescent="0.25">
      <c r="A359" s="1">
        <v>21041</v>
      </c>
      <c r="B359" s="1" t="s">
        <v>369</v>
      </c>
      <c r="C359" s="1" t="s">
        <v>541</v>
      </c>
      <c r="D359" s="1">
        <v>39</v>
      </c>
      <c r="E359" s="1">
        <v>15</v>
      </c>
      <c r="F359" s="1" t="s">
        <v>953</v>
      </c>
      <c r="G359" s="1" t="s">
        <v>50</v>
      </c>
      <c r="H359" s="1" t="s">
        <v>32</v>
      </c>
      <c r="I359" s="1" t="s">
        <v>18</v>
      </c>
      <c r="J359" s="1">
        <v>40</v>
      </c>
      <c r="K359" s="1" t="s">
        <v>37</v>
      </c>
      <c r="L359" s="3">
        <v>107000</v>
      </c>
      <c r="M359" s="3">
        <v>107000</v>
      </c>
      <c r="N359" s="1" t="s">
        <v>26</v>
      </c>
      <c r="O359" s="5" t="str" cm="1">
        <f t="array" ref="O359">_xlfn.IFS(Table1[[#This Row],[Age]]&lt;25,"Young",Table1[[#This Row],[Age]]&lt;45,"Adult",Table1[[#This Row],[Age]]&gt;=45,"Old")</f>
        <v>Adult</v>
      </c>
    </row>
    <row r="360" spans="1:15" x14ac:dyDescent="0.25">
      <c r="A360" s="1">
        <v>19135</v>
      </c>
      <c r="B360" s="1" t="s">
        <v>397</v>
      </c>
      <c r="C360" s="1" t="s">
        <v>542</v>
      </c>
      <c r="D360" s="1">
        <v>55</v>
      </c>
      <c r="E360" s="1">
        <v>35</v>
      </c>
      <c r="F360" s="1" t="s">
        <v>954</v>
      </c>
      <c r="G360" s="1" t="s">
        <v>45</v>
      </c>
      <c r="H360" s="1" t="s">
        <v>36</v>
      </c>
      <c r="I360" s="1" t="s">
        <v>51</v>
      </c>
      <c r="J360" s="1">
        <v>20</v>
      </c>
      <c r="K360" s="1" t="s">
        <v>42</v>
      </c>
      <c r="L360" s="3">
        <v>68000</v>
      </c>
      <c r="M360" s="3">
        <v>34000</v>
      </c>
      <c r="N360" s="1" t="s">
        <v>20</v>
      </c>
      <c r="O360" s="5" t="str" cm="1">
        <f t="array" ref="O360">_xlfn.IFS(Table1[[#This Row],[Age]]&lt;25,"Young",Table1[[#This Row],[Age]]&lt;45,"Adult",Table1[[#This Row],[Age]]&gt;=45,"Old")</f>
        <v>Old</v>
      </c>
    </row>
    <row r="361" spans="1:15" x14ac:dyDescent="0.25">
      <c r="A361" s="1">
        <v>3963</v>
      </c>
      <c r="B361" s="1" t="s">
        <v>543</v>
      </c>
      <c r="C361" s="1" t="s">
        <v>544</v>
      </c>
      <c r="D361" s="1">
        <v>48</v>
      </c>
      <c r="E361" s="1">
        <v>12</v>
      </c>
      <c r="F361" s="1" t="s">
        <v>953</v>
      </c>
      <c r="G361" s="1" t="s">
        <v>45</v>
      </c>
      <c r="H361" s="1" t="s">
        <v>24</v>
      </c>
      <c r="I361" s="1" t="s">
        <v>18</v>
      </c>
      <c r="J361" s="1">
        <v>40</v>
      </c>
      <c r="K361" s="1" t="s">
        <v>37</v>
      </c>
      <c r="L361" s="3">
        <v>96560</v>
      </c>
      <c r="M361" s="3">
        <v>96560</v>
      </c>
      <c r="N361" s="1" t="s">
        <v>29</v>
      </c>
      <c r="O361" s="5" t="str" cm="1">
        <f t="array" ref="O361">_xlfn.IFS(Table1[[#This Row],[Age]]&lt;25,"Young",Table1[[#This Row],[Age]]&lt;45,"Adult",Table1[[#This Row],[Age]]&gt;=45,"Old")</f>
        <v>Old</v>
      </c>
    </row>
    <row r="362" spans="1:15" x14ac:dyDescent="0.25">
      <c r="A362" s="1">
        <v>3087</v>
      </c>
      <c r="B362" s="1" t="s">
        <v>545</v>
      </c>
      <c r="C362" s="1" t="s">
        <v>546</v>
      </c>
      <c r="D362" s="1">
        <v>36</v>
      </c>
      <c r="E362" s="1">
        <v>9</v>
      </c>
      <c r="F362" s="1" t="s">
        <v>954</v>
      </c>
      <c r="G362" s="1" t="s">
        <v>45</v>
      </c>
      <c r="H362" s="1" t="s">
        <v>17</v>
      </c>
      <c r="I362" s="1" t="s">
        <v>18</v>
      </c>
      <c r="J362" s="1">
        <v>24</v>
      </c>
      <c r="K362" s="1" t="s">
        <v>37</v>
      </c>
      <c r="L362" s="3">
        <v>85000</v>
      </c>
      <c r="M362" s="3">
        <v>51000</v>
      </c>
      <c r="N362" s="1" t="s">
        <v>20</v>
      </c>
      <c r="O362" s="5" t="str" cm="1">
        <f t="array" ref="O362">_xlfn.IFS(Table1[[#This Row],[Age]]&lt;25,"Young",Table1[[#This Row],[Age]]&lt;45,"Adult",Table1[[#This Row],[Age]]&gt;=45,"Old")</f>
        <v>Adult</v>
      </c>
    </row>
    <row r="363" spans="1:15" x14ac:dyDescent="0.25">
      <c r="A363" s="1">
        <v>18304</v>
      </c>
      <c r="B363" s="1" t="s">
        <v>547</v>
      </c>
      <c r="C363" s="1" t="s">
        <v>548</v>
      </c>
      <c r="D363" s="1">
        <v>29</v>
      </c>
      <c r="E363" s="1">
        <v>6</v>
      </c>
      <c r="F363" s="1" t="s">
        <v>954</v>
      </c>
      <c r="G363" s="1" t="s">
        <v>35</v>
      </c>
      <c r="H363" s="1" t="s">
        <v>32</v>
      </c>
      <c r="I363" s="1" t="s">
        <v>18</v>
      </c>
      <c r="J363" s="1">
        <v>32</v>
      </c>
      <c r="K363" s="1" t="s">
        <v>25</v>
      </c>
      <c r="L363" s="3">
        <v>98000</v>
      </c>
      <c r="M363" s="3">
        <v>78400</v>
      </c>
      <c r="N363" s="1" t="s">
        <v>20</v>
      </c>
      <c r="O363" s="5" t="str" cm="1">
        <f t="array" ref="O363">_xlfn.IFS(Table1[[#This Row],[Age]]&lt;25,"Young",Table1[[#This Row],[Age]]&lt;45,"Adult",Table1[[#This Row],[Age]]&gt;=45,"Old")</f>
        <v>Adult</v>
      </c>
    </row>
    <row r="364" spans="1:15" x14ac:dyDescent="0.25">
      <c r="A364" s="1">
        <v>7671</v>
      </c>
      <c r="B364" s="1" t="s">
        <v>549</v>
      </c>
      <c r="C364" s="1" t="s">
        <v>246</v>
      </c>
      <c r="D364" s="1">
        <v>32</v>
      </c>
      <c r="E364" s="1">
        <v>2</v>
      </c>
      <c r="F364" s="1" t="s">
        <v>953</v>
      </c>
      <c r="G364" s="1" t="s">
        <v>35</v>
      </c>
      <c r="H364" s="1" t="s">
        <v>24</v>
      </c>
      <c r="I364" s="1" t="s">
        <v>18</v>
      </c>
      <c r="J364" s="1">
        <v>20</v>
      </c>
      <c r="K364" s="1" t="s">
        <v>25</v>
      </c>
      <c r="L364" s="3">
        <v>105840</v>
      </c>
      <c r="M364" s="3">
        <v>52920</v>
      </c>
      <c r="N364" s="1" t="s">
        <v>20</v>
      </c>
      <c r="O364" s="5" t="str" cm="1">
        <f t="array" ref="O364">_xlfn.IFS(Table1[[#This Row],[Age]]&lt;25,"Young",Table1[[#This Row],[Age]]&lt;45,"Adult",Table1[[#This Row],[Age]]&gt;=45,"Old")</f>
        <v>Adult</v>
      </c>
    </row>
    <row r="365" spans="1:15" x14ac:dyDescent="0.25">
      <c r="A365" s="1">
        <v>17263</v>
      </c>
      <c r="B365" s="1" t="s">
        <v>162</v>
      </c>
      <c r="C365" s="1" t="s">
        <v>550</v>
      </c>
      <c r="D365" s="1">
        <v>37</v>
      </c>
      <c r="E365" s="1">
        <v>18</v>
      </c>
      <c r="F365" s="1" t="s">
        <v>953</v>
      </c>
      <c r="G365" s="1" t="s">
        <v>45</v>
      </c>
      <c r="H365" s="1" t="s">
        <v>24</v>
      </c>
      <c r="I365" s="1" t="s">
        <v>18</v>
      </c>
      <c r="J365" s="1">
        <v>40</v>
      </c>
      <c r="K365" s="1" t="s">
        <v>37</v>
      </c>
      <c r="L365" s="3">
        <v>103733</v>
      </c>
      <c r="M365" s="3">
        <v>103733</v>
      </c>
      <c r="N365" s="1" t="s">
        <v>29</v>
      </c>
      <c r="O365" s="5" t="str" cm="1">
        <f t="array" ref="O365">_xlfn.IFS(Table1[[#This Row],[Age]]&lt;25,"Young",Table1[[#This Row],[Age]]&lt;45,"Adult",Table1[[#This Row],[Age]]&gt;=45,"Old")</f>
        <v>Adult</v>
      </c>
    </row>
    <row r="366" spans="1:15" x14ac:dyDescent="0.25">
      <c r="A366" s="1">
        <v>5027</v>
      </c>
      <c r="B366" s="1" t="s">
        <v>165</v>
      </c>
      <c r="C366" s="1" t="s">
        <v>551</v>
      </c>
      <c r="D366" s="1">
        <v>37</v>
      </c>
      <c r="E366" s="1">
        <v>6</v>
      </c>
      <c r="F366" s="1" t="s">
        <v>954</v>
      </c>
      <c r="G366" s="1" t="s">
        <v>50</v>
      </c>
      <c r="H366" s="1" t="s">
        <v>32</v>
      </c>
      <c r="I366" s="1" t="s">
        <v>18</v>
      </c>
      <c r="J366" s="1">
        <v>16</v>
      </c>
      <c r="K366" s="1" t="s">
        <v>42</v>
      </c>
      <c r="L366" s="3">
        <v>68000</v>
      </c>
      <c r="M366" s="3">
        <v>27200</v>
      </c>
      <c r="N366" s="1" t="s">
        <v>29</v>
      </c>
      <c r="O366" s="5" t="str" cm="1">
        <f t="array" ref="O366">_xlfn.IFS(Table1[[#This Row],[Age]]&lt;25,"Young",Table1[[#This Row],[Age]]&lt;45,"Adult",Table1[[#This Row],[Age]]&gt;=45,"Old")</f>
        <v>Adult</v>
      </c>
    </row>
    <row r="367" spans="1:15" x14ac:dyDescent="0.25">
      <c r="A367" s="1">
        <v>12123</v>
      </c>
      <c r="B367" s="1" t="s">
        <v>552</v>
      </c>
      <c r="C367" s="1" t="s">
        <v>553</v>
      </c>
      <c r="D367" s="1">
        <v>50</v>
      </c>
      <c r="E367" s="1">
        <v>19</v>
      </c>
      <c r="F367" s="1" t="s">
        <v>953</v>
      </c>
      <c r="G367" s="1" t="s">
        <v>35</v>
      </c>
      <c r="H367" s="1" t="s">
        <v>24</v>
      </c>
      <c r="I367" s="1" t="s">
        <v>18</v>
      </c>
      <c r="J367" s="1">
        <v>24</v>
      </c>
      <c r="K367" s="1" t="s">
        <v>19</v>
      </c>
      <c r="L367" s="3">
        <v>124200</v>
      </c>
      <c r="M367" s="3">
        <v>74520</v>
      </c>
      <c r="N367" s="1" t="s">
        <v>20</v>
      </c>
      <c r="O367" s="5" t="str" cm="1">
        <f t="array" ref="O367">_xlfn.IFS(Table1[[#This Row],[Age]]&lt;25,"Young",Table1[[#This Row],[Age]]&lt;45,"Adult",Table1[[#This Row],[Age]]&gt;=45,"Old")</f>
        <v>Old</v>
      </c>
    </row>
    <row r="368" spans="1:15" x14ac:dyDescent="0.25">
      <c r="A368" s="1">
        <v>2941</v>
      </c>
      <c r="B368" s="1" t="s">
        <v>554</v>
      </c>
      <c r="C368" s="1" t="s">
        <v>555</v>
      </c>
      <c r="D368" s="1">
        <v>48</v>
      </c>
      <c r="E368" s="1">
        <v>12</v>
      </c>
      <c r="F368" s="1" t="s">
        <v>954</v>
      </c>
      <c r="G368" s="1" t="s">
        <v>16</v>
      </c>
      <c r="H368" s="1" t="s">
        <v>64</v>
      </c>
      <c r="I368" s="1" t="s">
        <v>18</v>
      </c>
      <c r="J368" s="1">
        <v>40</v>
      </c>
      <c r="K368" s="1" t="s">
        <v>52</v>
      </c>
      <c r="L368" s="3">
        <v>141005</v>
      </c>
      <c r="M368" s="3">
        <v>141005</v>
      </c>
      <c r="N368" s="1" t="s">
        <v>29</v>
      </c>
      <c r="O368" s="5" t="str" cm="1">
        <f t="array" ref="O368">_xlfn.IFS(Table1[[#This Row],[Age]]&lt;25,"Young",Table1[[#This Row],[Age]]&lt;45,"Adult",Table1[[#This Row],[Age]]&gt;=45,"Old")</f>
        <v>Old</v>
      </c>
    </row>
    <row r="369" spans="1:15" x14ac:dyDescent="0.25">
      <c r="A369" s="1">
        <v>1738</v>
      </c>
      <c r="B369" s="1" t="s">
        <v>201</v>
      </c>
      <c r="C369" s="1" t="s">
        <v>202</v>
      </c>
      <c r="D369" s="1">
        <v>33</v>
      </c>
      <c r="E369" s="1">
        <v>6</v>
      </c>
      <c r="F369" s="1" t="s">
        <v>954</v>
      </c>
      <c r="G369" s="1" t="s">
        <v>45</v>
      </c>
      <c r="H369" s="1" t="s">
        <v>17</v>
      </c>
      <c r="I369" s="1" t="s">
        <v>18</v>
      </c>
      <c r="J369" s="1">
        <v>20</v>
      </c>
      <c r="K369" s="1" t="s">
        <v>25</v>
      </c>
      <c r="L369" s="3">
        <v>103930</v>
      </c>
      <c r="M369" s="3">
        <v>51965</v>
      </c>
      <c r="N369" s="1" t="s">
        <v>29</v>
      </c>
      <c r="O369" s="5" t="str" cm="1">
        <f t="array" ref="O369">_xlfn.IFS(Table1[[#This Row],[Age]]&lt;25,"Young",Table1[[#This Row],[Age]]&lt;45,"Adult",Table1[[#This Row],[Age]]&gt;=45,"Old")</f>
        <v>Adult</v>
      </c>
    </row>
    <row r="370" spans="1:15" x14ac:dyDescent="0.25">
      <c r="A370" s="1">
        <v>8691</v>
      </c>
      <c r="B370" s="1" t="s">
        <v>556</v>
      </c>
      <c r="C370" s="1" t="s">
        <v>557</v>
      </c>
      <c r="D370" s="1">
        <v>41</v>
      </c>
      <c r="E370" s="1">
        <v>17</v>
      </c>
      <c r="F370" s="1" t="s">
        <v>953</v>
      </c>
      <c r="G370" s="1" t="s">
        <v>35</v>
      </c>
      <c r="H370" s="1" t="s">
        <v>32</v>
      </c>
      <c r="I370" s="1" t="s">
        <v>18</v>
      </c>
      <c r="J370" s="1">
        <v>20</v>
      </c>
      <c r="K370" s="1" t="s">
        <v>42</v>
      </c>
      <c r="L370" s="3">
        <v>81910</v>
      </c>
      <c r="M370" s="3">
        <v>40955</v>
      </c>
      <c r="N370" s="1" t="s">
        <v>29</v>
      </c>
      <c r="O370" s="5" t="str" cm="1">
        <f t="array" ref="O370">_xlfn.IFS(Table1[[#This Row],[Age]]&lt;25,"Young",Table1[[#This Row],[Age]]&lt;45,"Adult",Table1[[#This Row],[Age]]&gt;=45,"Old")</f>
        <v>Adult</v>
      </c>
    </row>
    <row r="371" spans="1:15" x14ac:dyDescent="0.25">
      <c r="A371" s="1">
        <v>12795</v>
      </c>
      <c r="B371" s="1" t="s">
        <v>416</v>
      </c>
      <c r="C371" s="1" t="s">
        <v>558</v>
      </c>
      <c r="D371" s="1">
        <v>33</v>
      </c>
      <c r="E371" s="1">
        <v>8</v>
      </c>
      <c r="F371" s="1" t="s">
        <v>953</v>
      </c>
      <c r="G371" s="1" t="s">
        <v>35</v>
      </c>
      <c r="H371" s="1" t="s">
        <v>36</v>
      </c>
      <c r="I371" s="1" t="s">
        <v>18</v>
      </c>
      <c r="J371" s="1">
        <v>16</v>
      </c>
      <c r="K371" s="1" t="s">
        <v>42</v>
      </c>
      <c r="L371" s="3">
        <v>73440</v>
      </c>
      <c r="M371" s="3">
        <v>29376</v>
      </c>
      <c r="N371" s="1" t="s">
        <v>20</v>
      </c>
      <c r="O371" s="5" t="str" cm="1">
        <f t="array" ref="O371">_xlfn.IFS(Table1[[#This Row],[Age]]&lt;25,"Young",Table1[[#This Row],[Age]]&lt;45,"Adult",Table1[[#This Row],[Age]]&gt;=45,"Old")</f>
        <v>Adult</v>
      </c>
    </row>
    <row r="372" spans="1:15" x14ac:dyDescent="0.25">
      <c r="A372" s="1">
        <v>10025</v>
      </c>
      <c r="B372" s="1" t="s">
        <v>114</v>
      </c>
      <c r="C372" s="1" t="s">
        <v>230</v>
      </c>
      <c r="D372" s="1">
        <v>48</v>
      </c>
      <c r="E372" s="1">
        <v>2</v>
      </c>
      <c r="F372" s="1" t="s">
        <v>954</v>
      </c>
      <c r="G372" s="1" t="s">
        <v>50</v>
      </c>
      <c r="H372" s="1" t="s">
        <v>64</v>
      </c>
      <c r="I372" s="1" t="s">
        <v>51</v>
      </c>
      <c r="J372" s="1">
        <v>24</v>
      </c>
      <c r="K372" s="1" t="s">
        <v>25</v>
      </c>
      <c r="L372" s="3">
        <v>98000</v>
      </c>
      <c r="M372" s="3">
        <v>58800</v>
      </c>
      <c r="N372" s="1" t="s">
        <v>20</v>
      </c>
      <c r="O372" s="5" t="str" cm="1">
        <f t="array" ref="O372">_xlfn.IFS(Table1[[#This Row],[Age]]&lt;25,"Young",Table1[[#This Row],[Age]]&lt;45,"Adult",Table1[[#This Row],[Age]]&gt;=45,"Old")</f>
        <v>Old</v>
      </c>
    </row>
    <row r="373" spans="1:15" x14ac:dyDescent="0.25">
      <c r="A373" s="1">
        <v>5856</v>
      </c>
      <c r="B373" s="1" t="s">
        <v>100</v>
      </c>
      <c r="C373" s="1" t="s">
        <v>511</v>
      </c>
      <c r="D373" s="1">
        <v>46</v>
      </c>
      <c r="E373" s="1">
        <v>11</v>
      </c>
      <c r="F373" s="1" t="s">
        <v>953</v>
      </c>
      <c r="G373" s="1" t="s">
        <v>50</v>
      </c>
      <c r="H373" s="1" t="s">
        <v>32</v>
      </c>
      <c r="I373" s="1" t="s">
        <v>18</v>
      </c>
      <c r="J373" s="1">
        <v>40</v>
      </c>
      <c r="K373" s="1" t="s">
        <v>37</v>
      </c>
      <c r="L373" s="3">
        <v>92017</v>
      </c>
      <c r="M373" s="3">
        <v>92017</v>
      </c>
      <c r="N373" s="1" t="s">
        <v>26</v>
      </c>
      <c r="O373" s="5" t="str" cm="1">
        <f t="array" ref="O373">_xlfn.IFS(Table1[[#This Row],[Age]]&lt;25,"Young",Table1[[#This Row],[Age]]&lt;45,"Adult",Table1[[#This Row],[Age]]&gt;=45,"Old")</f>
        <v>Old</v>
      </c>
    </row>
    <row r="374" spans="1:15" x14ac:dyDescent="0.25">
      <c r="A374" s="1">
        <v>15045</v>
      </c>
      <c r="B374" s="1" t="s">
        <v>239</v>
      </c>
      <c r="C374" s="1" t="s">
        <v>559</v>
      </c>
      <c r="D374" s="1">
        <v>28</v>
      </c>
      <c r="E374" s="1">
        <v>3</v>
      </c>
      <c r="F374" s="1" t="s">
        <v>953</v>
      </c>
      <c r="G374" s="1" t="s">
        <v>16</v>
      </c>
      <c r="H374" s="1" t="s">
        <v>24</v>
      </c>
      <c r="I374" s="1" t="s">
        <v>18</v>
      </c>
      <c r="J374" s="1">
        <v>40</v>
      </c>
      <c r="K374" s="1" t="s">
        <v>37</v>
      </c>
      <c r="L374" s="3">
        <v>107000</v>
      </c>
      <c r="M374" s="3">
        <v>107000</v>
      </c>
      <c r="N374" s="1" t="s">
        <v>26</v>
      </c>
      <c r="O374" s="5" t="str" cm="1">
        <f t="array" ref="O374">_xlfn.IFS(Table1[[#This Row],[Age]]&lt;25,"Young",Table1[[#This Row],[Age]]&lt;45,"Adult",Table1[[#This Row],[Age]]&gt;=45,"Old")</f>
        <v>Adult</v>
      </c>
    </row>
    <row r="375" spans="1:15" x14ac:dyDescent="0.25">
      <c r="A375" s="1">
        <v>18487</v>
      </c>
      <c r="B375" s="1" t="s">
        <v>560</v>
      </c>
      <c r="C375" s="1" t="s">
        <v>561</v>
      </c>
      <c r="D375" s="1">
        <v>55</v>
      </c>
      <c r="E375" s="1">
        <v>36</v>
      </c>
      <c r="F375" s="1" t="s">
        <v>953</v>
      </c>
      <c r="G375" s="1" t="s">
        <v>35</v>
      </c>
      <c r="H375" s="1" t="s">
        <v>32</v>
      </c>
      <c r="I375" s="1" t="s">
        <v>18</v>
      </c>
      <c r="J375" s="1">
        <v>32</v>
      </c>
      <c r="K375" s="1" t="s">
        <v>42</v>
      </c>
      <c r="L375" s="3">
        <v>73440</v>
      </c>
      <c r="M375" s="3">
        <v>58752</v>
      </c>
      <c r="N375" s="1" t="s">
        <v>20</v>
      </c>
      <c r="O375" s="5" t="str" cm="1">
        <f t="array" ref="O375">_xlfn.IFS(Table1[[#This Row],[Age]]&lt;25,"Young",Table1[[#This Row],[Age]]&lt;45,"Adult",Table1[[#This Row],[Age]]&gt;=45,"Old")</f>
        <v>Old</v>
      </c>
    </row>
    <row r="376" spans="1:15" x14ac:dyDescent="0.25">
      <c r="A376" s="1">
        <v>10599</v>
      </c>
      <c r="B376" s="1" t="s">
        <v>182</v>
      </c>
      <c r="C376" s="1" t="s">
        <v>183</v>
      </c>
      <c r="D376" s="1">
        <v>46</v>
      </c>
      <c r="E376" s="1">
        <v>10</v>
      </c>
      <c r="F376" s="1" t="s">
        <v>953</v>
      </c>
      <c r="G376" s="1" t="s">
        <v>23</v>
      </c>
      <c r="H376" s="1" t="s">
        <v>17</v>
      </c>
      <c r="I376" s="1" t="s">
        <v>18</v>
      </c>
      <c r="J376" s="1">
        <v>20</v>
      </c>
      <c r="K376" s="1" t="s">
        <v>25</v>
      </c>
      <c r="L376" s="3">
        <v>122000</v>
      </c>
      <c r="M376" s="3">
        <v>61000</v>
      </c>
      <c r="N376" s="1" t="s">
        <v>26</v>
      </c>
      <c r="O376" s="5" t="str" cm="1">
        <f t="array" ref="O376">_xlfn.IFS(Table1[[#This Row],[Age]]&lt;25,"Young",Table1[[#This Row],[Age]]&lt;45,"Adult",Table1[[#This Row],[Age]]&gt;=45,"Old")</f>
        <v>Old</v>
      </c>
    </row>
    <row r="377" spans="1:15" x14ac:dyDescent="0.25">
      <c r="A377" s="1">
        <v>20730</v>
      </c>
      <c r="B377" s="1" t="s">
        <v>30</v>
      </c>
      <c r="C377" s="1" t="s">
        <v>562</v>
      </c>
      <c r="D377" s="1">
        <v>50</v>
      </c>
      <c r="E377" s="1">
        <v>3</v>
      </c>
      <c r="F377" s="1" t="s">
        <v>953</v>
      </c>
      <c r="G377" s="1" t="s">
        <v>16</v>
      </c>
      <c r="H377" s="1" t="s">
        <v>64</v>
      </c>
      <c r="I377" s="1" t="s">
        <v>18</v>
      </c>
      <c r="J377" s="1">
        <v>40</v>
      </c>
      <c r="K377" s="1" t="s">
        <v>19</v>
      </c>
      <c r="L377" s="3">
        <v>138000</v>
      </c>
      <c r="M377" s="3">
        <v>138000</v>
      </c>
      <c r="N377" s="1" t="s">
        <v>20</v>
      </c>
      <c r="O377" s="5" t="str" cm="1">
        <f t="array" ref="O377">_xlfn.IFS(Table1[[#This Row],[Age]]&lt;25,"Young",Table1[[#This Row],[Age]]&lt;45,"Adult",Table1[[#This Row],[Age]]&gt;=45,"Old")</f>
        <v>Old</v>
      </c>
    </row>
    <row r="378" spans="1:15" x14ac:dyDescent="0.25">
      <c r="A378" s="1">
        <v>22116</v>
      </c>
      <c r="B378" s="1" t="s">
        <v>563</v>
      </c>
      <c r="C378" s="1" t="s">
        <v>564</v>
      </c>
      <c r="D378" s="1">
        <v>39</v>
      </c>
      <c r="E378" s="1">
        <v>0</v>
      </c>
      <c r="F378" s="1" t="s">
        <v>954</v>
      </c>
      <c r="G378" s="1" t="s">
        <v>35</v>
      </c>
      <c r="H378" s="1" t="s">
        <v>24</v>
      </c>
      <c r="I378" s="1" t="s">
        <v>18</v>
      </c>
      <c r="J378" s="1">
        <v>16</v>
      </c>
      <c r="K378" s="1" t="s">
        <v>37</v>
      </c>
      <c r="L378" s="3">
        <v>85000</v>
      </c>
      <c r="M378" s="3">
        <v>34000</v>
      </c>
      <c r="N378" s="1" t="s">
        <v>20</v>
      </c>
      <c r="O378" s="5" t="str" cm="1">
        <f t="array" ref="O378">_xlfn.IFS(Table1[[#This Row],[Age]]&lt;25,"Young",Table1[[#This Row],[Age]]&lt;45,"Adult",Table1[[#This Row],[Age]]&gt;=45,"Old")</f>
        <v>Adult</v>
      </c>
    </row>
    <row r="379" spans="1:15" x14ac:dyDescent="0.25">
      <c r="A379" s="1">
        <v>18019</v>
      </c>
      <c r="B379" s="1" t="s">
        <v>565</v>
      </c>
      <c r="C379" s="1" t="s">
        <v>566</v>
      </c>
      <c r="D379" s="1">
        <v>55</v>
      </c>
      <c r="E379" s="1">
        <v>23</v>
      </c>
      <c r="F379" s="1" t="s">
        <v>953</v>
      </c>
      <c r="G379" s="1" t="s">
        <v>45</v>
      </c>
      <c r="H379" s="1" t="s">
        <v>36</v>
      </c>
      <c r="I379" s="1" t="s">
        <v>18</v>
      </c>
      <c r="J379" s="1">
        <v>40</v>
      </c>
      <c r="K379" s="1" t="s">
        <v>37</v>
      </c>
      <c r="L379" s="3">
        <v>100672</v>
      </c>
      <c r="M379" s="3">
        <v>100672</v>
      </c>
      <c r="N379" s="1" t="s">
        <v>26</v>
      </c>
      <c r="O379" s="5" t="str" cm="1">
        <f t="array" ref="O379">_xlfn.IFS(Table1[[#This Row],[Age]]&lt;25,"Young",Table1[[#This Row],[Age]]&lt;45,"Adult",Table1[[#This Row],[Age]]&gt;=45,"Old")</f>
        <v>Old</v>
      </c>
    </row>
    <row r="380" spans="1:15" x14ac:dyDescent="0.25">
      <c r="A380" s="1">
        <v>943</v>
      </c>
      <c r="B380" s="1" t="s">
        <v>375</v>
      </c>
      <c r="C380" s="1" t="s">
        <v>567</v>
      </c>
      <c r="D380" s="1">
        <v>46</v>
      </c>
      <c r="E380" s="1">
        <v>16</v>
      </c>
      <c r="F380" s="1" t="s">
        <v>953</v>
      </c>
      <c r="G380" s="1" t="s">
        <v>35</v>
      </c>
      <c r="H380" s="1" t="s">
        <v>192</v>
      </c>
      <c r="I380" s="1" t="s">
        <v>18</v>
      </c>
      <c r="J380" s="1">
        <v>24</v>
      </c>
      <c r="K380" s="1" t="s">
        <v>37</v>
      </c>
      <c r="L380" s="3">
        <v>95828</v>
      </c>
      <c r="M380" s="3">
        <v>57496.800000000003</v>
      </c>
      <c r="N380" s="1" t="s">
        <v>29</v>
      </c>
      <c r="O380" s="5" t="str" cm="1">
        <f t="array" ref="O380">_xlfn.IFS(Table1[[#This Row],[Age]]&lt;25,"Young",Table1[[#This Row],[Age]]&lt;45,"Adult",Table1[[#This Row],[Age]]&gt;=45,"Old")</f>
        <v>Old</v>
      </c>
    </row>
    <row r="381" spans="1:15" x14ac:dyDescent="0.25">
      <c r="A381" s="1">
        <v>22571</v>
      </c>
      <c r="B381" s="1" t="s">
        <v>568</v>
      </c>
      <c r="C381" s="1" t="s">
        <v>354</v>
      </c>
      <c r="D381" s="1">
        <v>37</v>
      </c>
      <c r="E381" s="1">
        <v>12</v>
      </c>
      <c r="F381" s="1" t="s">
        <v>953</v>
      </c>
      <c r="G381" s="1" t="s">
        <v>50</v>
      </c>
      <c r="H381" s="1" t="s">
        <v>32</v>
      </c>
      <c r="I381" s="1" t="s">
        <v>18</v>
      </c>
      <c r="J381" s="1">
        <v>40</v>
      </c>
      <c r="K381" s="1" t="s">
        <v>25</v>
      </c>
      <c r="L381" s="3">
        <v>121435</v>
      </c>
      <c r="M381" s="3">
        <v>121435</v>
      </c>
      <c r="N381" s="1" t="s">
        <v>26</v>
      </c>
      <c r="O381" s="5" t="str" cm="1">
        <f t="array" ref="O381">_xlfn.IFS(Table1[[#This Row],[Age]]&lt;25,"Young",Table1[[#This Row],[Age]]&lt;45,"Adult",Table1[[#This Row],[Age]]&gt;=45,"Old")</f>
        <v>Adult</v>
      </c>
    </row>
    <row r="382" spans="1:15" x14ac:dyDescent="0.25">
      <c r="A382" s="1">
        <v>18860</v>
      </c>
      <c r="B382" s="1" t="s">
        <v>569</v>
      </c>
      <c r="C382" s="1" t="s">
        <v>570</v>
      </c>
      <c r="D382" s="1">
        <v>40</v>
      </c>
      <c r="E382" s="1">
        <v>2</v>
      </c>
      <c r="F382" s="1" t="s">
        <v>953</v>
      </c>
      <c r="G382" s="1" t="s">
        <v>23</v>
      </c>
      <c r="H382" s="1" t="s">
        <v>192</v>
      </c>
      <c r="I382" s="1" t="s">
        <v>18</v>
      </c>
      <c r="J382" s="1">
        <v>20</v>
      </c>
      <c r="K382" s="1" t="s">
        <v>19</v>
      </c>
      <c r="L382" s="3">
        <v>124200</v>
      </c>
      <c r="M382" s="3">
        <v>62100</v>
      </c>
      <c r="N382" s="1" t="s">
        <v>29</v>
      </c>
      <c r="O382" s="5" t="str" cm="1">
        <f t="array" ref="O382">_xlfn.IFS(Table1[[#This Row],[Age]]&lt;25,"Young",Table1[[#This Row],[Age]]&lt;45,"Adult",Table1[[#This Row],[Age]]&gt;=45,"Old")</f>
        <v>Adult</v>
      </c>
    </row>
    <row r="383" spans="1:15" x14ac:dyDescent="0.25">
      <c r="A383" s="1">
        <v>10497</v>
      </c>
      <c r="B383" s="1" t="s">
        <v>117</v>
      </c>
      <c r="C383" s="1" t="s">
        <v>571</v>
      </c>
      <c r="D383" s="1">
        <v>29</v>
      </c>
      <c r="E383" s="1">
        <v>11</v>
      </c>
      <c r="F383" s="1" t="s">
        <v>953</v>
      </c>
      <c r="G383" s="1" t="s">
        <v>50</v>
      </c>
      <c r="H383" s="1" t="s">
        <v>32</v>
      </c>
      <c r="I383" s="1" t="s">
        <v>18</v>
      </c>
      <c r="J383" s="1">
        <v>24</v>
      </c>
      <c r="K383" s="1" t="s">
        <v>42</v>
      </c>
      <c r="L383" s="3">
        <v>73884</v>
      </c>
      <c r="M383" s="3">
        <v>44330.400000000001</v>
      </c>
      <c r="N383" s="1" t="s">
        <v>20</v>
      </c>
      <c r="O383" s="5" t="str" cm="1">
        <f t="array" ref="O383">_xlfn.IFS(Table1[[#This Row],[Age]]&lt;25,"Young",Table1[[#This Row],[Age]]&lt;45,"Adult",Table1[[#This Row],[Age]]&gt;=45,"Old")</f>
        <v>Adult</v>
      </c>
    </row>
    <row r="384" spans="1:15" x14ac:dyDescent="0.25">
      <c r="A384" s="1">
        <v>22424</v>
      </c>
      <c r="B384" s="1" t="s">
        <v>33</v>
      </c>
      <c r="C384" s="1" t="s">
        <v>402</v>
      </c>
      <c r="D384" s="1">
        <v>39</v>
      </c>
      <c r="E384" s="1">
        <v>4</v>
      </c>
      <c r="F384" s="1" t="s">
        <v>954</v>
      </c>
      <c r="G384" s="1" t="s">
        <v>35</v>
      </c>
      <c r="H384" s="1" t="s">
        <v>36</v>
      </c>
      <c r="I384" s="1" t="s">
        <v>18</v>
      </c>
      <c r="J384" s="1">
        <v>40</v>
      </c>
      <c r="K384" s="1" t="s">
        <v>25</v>
      </c>
      <c r="L384" s="3">
        <v>98000</v>
      </c>
      <c r="M384" s="3">
        <v>98000</v>
      </c>
      <c r="N384" s="1" t="s">
        <v>29</v>
      </c>
      <c r="O384" s="5" t="str" cm="1">
        <f t="array" ref="O384">_xlfn.IFS(Table1[[#This Row],[Age]]&lt;25,"Young",Table1[[#This Row],[Age]]&lt;45,"Adult",Table1[[#This Row],[Age]]&gt;=45,"Old")</f>
        <v>Adult</v>
      </c>
    </row>
    <row r="385" spans="1:15" x14ac:dyDescent="0.25">
      <c r="A385" s="1">
        <v>4081</v>
      </c>
      <c r="B385" s="1" t="s">
        <v>572</v>
      </c>
      <c r="C385" s="1" t="s">
        <v>573</v>
      </c>
      <c r="D385" s="1">
        <v>50</v>
      </c>
      <c r="E385" s="1">
        <v>23</v>
      </c>
      <c r="F385" s="1" t="s">
        <v>953</v>
      </c>
      <c r="G385" s="1" t="s">
        <v>23</v>
      </c>
      <c r="H385" s="1" t="s">
        <v>24</v>
      </c>
      <c r="I385" s="1" t="s">
        <v>18</v>
      </c>
      <c r="J385" s="1">
        <v>40</v>
      </c>
      <c r="K385" s="1" t="s">
        <v>37</v>
      </c>
      <c r="L385" s="3">
        <v>107000</v>
      </c>
      <c r="M385" s="3">
        <v>107000</v>
      </c>
      <c r="N385" s="1" t="s">
        <v>26</v>
      </c>
      <c r="O385" s="5" t="str" cm="1">
        <f t="array" ref="O385">_xlfn.IFS(Table1[[#This Row],[Age]]&lt;25,"Young",Table1[[#This Row],[Age]]&lt;45,"Adult",Table1[[#This Row],[Age]]&gt;=45,"Old")</f>
        <v>Old</v>
      </c>
    </row>
    <row r="386" spans="1:15" x14ac:dyDescent="0.25">
      <c r="A386" s="1">
        <v>5087</v>
      </c>
      <c r="B386" s="1" t="s">
        <v>574</v>
      </c>
      <c r="C386" s="1" t="s">
        <v>575</v>
      </c>
      <c r="D386" s="1">
        <v>43</v>
      </c>
      <c r="E386" s="1">
        <v>25</v>
      </c>
      <c r="F386" s="1" t="s">
        <v>954</v>
      </c>
      <c r="G386" s="1" t="s">
        <v>16</v>
      </c>
      <c r="H386" s="1" t="s">
        <v>32</v>
      </c>
      <c r="I386" s="1" t="s">
        <v>18</v>
      </c>
      <c r="J386" s="1">
        <v>40</v>
      </c>
      <c r="K386" s="1" t="s">
        <v>25</v>
      </c>
      <c r="L386" s="3">
        <v>105415</v>
      </c>
      <c r="M386" s="3">
        <v>131768.75</v>
      </c>
      <c r="N386" s="1" t="s">
        <v>26</v>
      </c>
      <c r="O386" s="5" t="str" cm="1">
        <f t="array" ref="O386">_xlfn.IFS(Table1[[#This Row],[Age]]&lt;25,"Young",Table1[[#This Row],[Age]]&lt;45,"Adult",Table1[[#This Row],[Age]]&gt;=45,"Old")</f>
        <v>Adult</v>
      </c>
    </row>
    <row r="387" spans="1:15" x14ac:dyDescent="0.25">
      <c r="A387" s="1">
        <v>9353</v>
      </c>
      <c r="B387" s="1" t="s">
        <v>576</v>
      </c>
      <c r="C387" s="1" t="s">
        <v>99</v>
      </c>
      <c r="D387" s="1">
        <v>27</v>
      </c>
      <c r="E387" s="1">
        <v>4</v>
      </c>
      <c r="F387" s="1" t="s">
        <v>954</v>
      </c>
      <c r="G387" s="1" t="s">
        <v>23</v>
      </c>
      <c r="H387" s="1" t="s">
        <v>36</v>
      </c>
      <c r="I387" s="1" t="s">
        <v>18</v>
      </c>
      <c r="J387" s="1">
        <v>20</v>
      </c>
      <c r="K387" s="1" t="s">
        <v>25</v>
      </c>
      <c r="L387" s="3">
        <v>98000</v>
      </c>
      <c r="M387" s="3">
        <v>49000</v>
      </c>
      <c r="N387" s="1" t="s">
        <v>29</v>
      </c>
      <c r="O387" s="5" t="str" cm="1">
        <f t="array" ref="O387">_xlfn.IFS(Table1[[#This Row],[Age]]&lt;25,"Young",Table1[[#This Row],[Age]]&lt;45,"Adult",Table1[[#This Row],[Age]]&gt;=45,"Old")</f>
        <v>Adult</v>
      </c>
    </row>
    <row r="388" spans="1:15" x14ac:dyDescent="0.25">
      <c r="A388" s="1">
        <v>4469</v>
      </c>
      <c r="B388" s="1" t="s">
        <v>281</v>
      </c>
      <c r="C388" s="1" t="s">
        <v>202</v>
      </c>
      <c r="D388" s="1">
        <v>55</v>
      </c>
      <c r="E388" s="1">
        <v>32</v>
      </c>
      <c r="F388" s="1" t="s">
        <v>953</v>
      </c>
      <c r="G388" s="1" t="s">
        <v>16</v>
      </c>
      <c r="H388" s="1" t="s">
        <v>192</v>
      </c>
      <c r="I388" s="1" t="s">
        <v>18</v>
      </c>
      <c r="J388" s="1">
        <v>40</v>
      </c>
      <c r="K388" s="1" t="s">
        <v>19</v>
      </c>
      <c r="L388" s="3">
        <v>138000</v>
      </c>
      <c r="M388" s="3">
        <v>138000</v>
      </c>
      <c r="N388" s="1" t="s">
        <v>26</v>
      </c>
      <c r="O388" s="5" t="str" cm="1">
        <f t="array" ref="O388">_xlfn.IFS(Table1[[#This Row],[Age]]&lt;25,"Young",Table1[[#This Row],[Age]]&lt;45,"Adult",Table1[[#This Row],[Age]]&gt;=45,"Old")</f>
        <v>Old</v>
      </c>
    </row>
    <row r="389" spans="1:15" x14ac:dyDescent="0.25">
      <c r="A389" s="1">
        <v>4194</v>
      </c>
      <c r="B389" s="1" t="s">
        <v>577</v>
      </c>
      <c r="C389" s="1" t="s">
        <v>578</v>
      </c>
      <c r="D389" s="1">
        <v>40</v>
      </c>
      <c r="E389" s="1">
        <v>16</v>
      </c>
      <c r="F389" s="1" t="s">
        <v>953</v>
      </c>
      <c r="G389" s="1" t="s">
        <v>23</v>
      </c>
      <c r="H389" s="1" t="s">
        <v>36</v>
      </c>
      <c r="I389" s="1" t="s">
        <v>18</v>
      </c>
      <c r="J389" s="1">
        <v>32</v>
      </c>
      <c r="K389" s="1" t="s">
        <v>42</v>
      </c>
      <c r="L389" s="3">
        <v>81203</v>
      </c>
      <c r="M389" s="3">
        <v>64962.400000000001</v>
      </c>
      <c r="N389" s="1" t="s">
        <v>26</v>
      </c>
      <c r="O389" s="5" t="str" cm="1">
        <f t="array" ref="O389">_xlfn.IFS(Table1[[#This Row],[Age]]&lt;25,"Young",Table1[[#This Row],[Age]]&lt;45,"Adult",Table1[[#This Row],[Age]]&gt;=45,"Old")</f>
        <v>Adult</v>
      </c>
    </row>
    <row r="390" spans="1:15" x14ac:dyDescent="0.25">
      <c r="A390" s="1">
        <v>5780</v>
      </c>
      <c r="B390" s="1" t="s">
        <v>579</v>
      </c>
      <c r="C390" s="1" t="s">
        <v>580</v>
      </c>
      <c r="D390" s="1">
        <v>52</v>
      </c>
      <c r="E390" s="1">
        <v>13</v>
      </c>
      <c r="F390" s="1" t="s">
        <v>953</v>
      </c>
      <c r="G390" s="1" t="s">
        <v>45</v>
      </c>
      <c r="H390" s="1" t="s">
        <v>32</v>
      </c>
      <c r="I390" s="1" t="s">
        <v>18</v>
      </c>
      <c r="J390" s="1">
        <v>8</v>
      </c>
      <c r="K390" s="1" t="s">
        <v>42</v>
      </c>
      <c r="L390" s="3">
        <v>73440</v>
      </c>
      <c r="M390" s="3">
        <v>14688</v>
      </c>
      <c r="N390" s="1" t="s">
        <v>20</v>
      </c>
      <c r="O390" s="5" t="str" cm="1">
        <f t="array" ref="O390">_xlfn.IFS(Table1[[#This Row],[Age]]&lt;25,"Young",Table1[[#This Row],[Age]]&lt;45,"Adult",Table1[[#This Row],[Age]]&gt;=45,"Old")</f>
        <v>Old</v>
      </c>
    </row>
    <row r="391" spans="1:15" x14ac:dyDescent="0.25">
      <c r="A391" s="1">
        <v>9611</v>
      </c>
      <c r="B391" s="1" t="s">
        <v>30</v>
      </c>
      <c r="C391" s="1" t="s">
        <v>581</v>
      </c>
      <c r="D391" s="1">
        <v>52</v>
      </c>
      <c r="E391" s="1">
        <v>0</v>
      </c>
      <c r="F391" s="1" t="s">
        <v>953</v>
      </c>
      <c r="G391" s="1" t="s">
        <v>45</v>
      </c>
      <c r="H391" s="1" t="s">
        <v>32</v>
      </c>
      <c r="I391" s="1" t="s">
        <v>18</v>
      </c>
      <c r="J391" s="1">
        <v>40</v>
      </c>
      <c r="K391" s="1" t="s">
        <v>25</v>
      </c>
      <c r="L391" s="3">
        <v>107404</v>
      </c>
      <c r="M391" s="3">
        <v>107404</v>
      </c>
      <c r="N391" s="1" t="s">
        <v>26</v>
      </c>
      <c r="O391" s="5" t="str" cm="1">
        <f t="array" ref="O391">_xlfn.IFS(Table1[[#This Row],[Age]]&lt;25,"Young",Table1[[#This Row],[Age]]&lt;45,"Adult",Table1[[#This Row],[Age]]&gt;=45,"Old")</f>
        <v>Old</v>
      </c>
    </row>
    <row r="392" spans="1:15" x14ac:dyDescent="0.25">
      <c r="A392" s="1">
        <v>9919</v>
      </c>
      <c r="B392" s="1" t="s">
        <v>582</v>
      </c>
      <c r="C392" s="1" t="s">
        <v>246</v>
      </c>
      <c r="D392" s="1">
        <v>28</v>
      </c>
      <c r="E392" s="1">
        <v>10</v>
      </c>
      <c r="F392" s="1" t="s">
        <v>953</v>
      </c>
      <c r="G392" s="1" t="s">
        <v>50</v>
      </c>
      <c r="H392" s="1" t="s">
        <v>32</v>
      </c>
      <c r="I392" s="1" t="s">
        <v>18</v>
      </c>
      <c r="J392" s="1">
        <v>40</v>
      </c>
      <c r="K392" s="1" t="s">
        <v>25</v>
      </c>
      <c r="L392" s="3">
        <v>119288</v>
      </c>
      <c r="M392" s="3">
        <v>119288</v>
      </c>
      <c r="N392" s="1" t="s">
        <v>29</v>
      </c>
      <c r="O392" s="5" t="str" cm="1">
        <f t="array" ref="O392">_xlfn.IFS(Table1[[#This Row],[Age]]&lt;25,"Young",Table1[[#This Row],[Age]]&lt;45,"Adult",Table1[[#This Row],[Age]]&gt;=45,"Old")</f>
        <v>Adult</v>
      </c>
    </row>
    <row r="393" spans="1:15" x14ac:dyDescent="0.25">
      <c r="A393" s="1">
        <v>20506</v>
      </c>
      <c r="B393" s="1" t="s">
        <v>583</v>
      </c>
      <c r="C393" s="1" t="s">
        <v>584</v>
      </c>
      <c r="D393" s="1">
        <v>57</v>
      </c>
      <c r="E393" s="1">
        <v>27</v>
      </c>
      <c r="F393" s="1" t="s">
        <v>954</v>
      </c>
      <c r="G393" s="1" t="s">
        <v>35</v>
      </c>
      <c r="H393" s="1" t="s">
        <v>32</v>
      </c>
      <c r="I393" s="1" t="s">
        <v>18</v>
      </c>
      <c r="J393" s="1">
        <v>32</v>
      </c>
      <c r="K393" s="1" t="s">
        <v>42</v>
      </c>
      <c r="L393" s="3">
        <v>68000</v>
      </c>
      <c r="M393" s="3">
        <v>54400</v>
      </c>
      <c r="N393" s="1" t="s">
        <v>20</v>
      </c>
      <c r="O393" s="5" t="str" cm="1">
        <f t="array" ref="O393">_xlfn.IFS(Table1[[#This Row],[Age]]&lt;25,"Young",Table1[[#This Row],[Age]]&lt;45,"Adult",Table1[[#This Row],[Age]]&gt;=45,"Old")</f>
        <v>Old</v>
      </c>
    </row>
    <row r="394" spans="1:15" x14ac:dyDescent="0.25">
      <c r="A394" s="1">
        <v>7588</v>
      </c>
      <c r="B394" s="1" t="s">
        <v>492</v>
      </c>
      <c r="C394" s="1" t="s">
        <v>585</v>
      </c>
      <c r="D394" s="1">
        <v>21</v>
      </c>
      <c r="E394" s="1">
        <v>0</v>
      </c>
      <c r="F394" s="1" t="s">
        <v>953</v>
      </c>
      <c r="G394" s="1" t="s">
        <v>35</v>
      </c>
      <c r="H394" s="1" t="s">
        <v>192</v>
      </c>
      <c r="I394" s="1" t="s">
        <v>18</v>
      </c>
      <c r="J394" s="1">
        <v>8</v>
      </c>
      <c r="K394" s="1" t="s">
        <v>19</v>
      </c>
      <c r="L394" s="3">
        <v>128626</v>
      </c>
      <c r="M394" s="3">
        <v>25725.200000000001</v>
      </c>
      <c r="N394" s="1" t="s">
        <v>29</v>
      </c>
      <c r="O394" s="5" t="str" cm="1">
        <f t="array" ref="O394">_xlfn.IFS(Table1[[#This Row],[Age]]&lt;25,"Young",Table1[[#This Row],[Age]]&lt;45,"Adult",Table1[[#This Row],[Age]]&gt;=45,"Old")</f>
        <v>Young</v>
      </c>
    </row>
    <row r="395" spans="1:15" x14ac:dyDescent="0.25">
      <c r="A395" s="1">
        <v>11922</v>
      </c>
      <c r="B395" s="1" t="s">
        <v>586</v>
      </c>
      <c r="C395" s="1" t="s">
        <v>587</v>
      </c>
      <c r="D395" s="1">
        <v>28</v>
      </c>
      <c r="E395" s="1">
        <v>8</v>
      </c>
      <c r="F395" s="1" t="s">
        <v>953</v>
      </c>
      <c r="G395" s="1" t="s">
        <v>45</v>
      </c>
      <c r="H395" s="1" t="s">
        <v>24</v>
      </c>
      <c r="I395" s="1" t="s">
        <v>18</v>
      </c>
      <c r="J395" s="1">
        <v>40</v>
      </c>
      <c r="K395" s="1" t="s">
        <v>37</v>
      </c>
      <c r="L395" s="3">
        <v>107000</v>
      </c>
      <c r="M395" s="3">
        <v>107000</v>
      </c>
      <c r="N395" s="1" t="s">
        <v>26</v>
      </c>
      <c r="O395" s="5" t="str" cm="1">
        <f t="array" ref="O395">_xlfn.IFS(Table1[[#This Row],[Age]]&lt;25,"Young",Table1[[#This Row],[Age]]&lt;45,"Adult",Table1[[#This Row],[Age]]&gt;=45,"Old")</f>
        <v>Adult</v>
      </c>
    </row>
    <row r="396" spans="1:15" x14ac:dyDescent="0.25">
      <c r="A396" s="1">
        <v>7358</v>
      </c>
      <c r="B396" s="1" t="s">
        <v>588</v>
      </c>
      <c r="C396" s="1" t="s">
        <v>261</v>
      </c>
      <c r="D396" s="1">
        <v>45</v>
      </c>
      <c r="E396" s="1">
        <v>7</v>
      </c>
      <c r="F396" s="1" t="s">
        <v>954</v>
      </c>
      <c r="G396" s="1" t="s">
        <v>16</v>
      </c>
      <c r="H396" s="1" t="s">
        <v>24</v>
      </c>
      <c r="I396" s="1" t="s">
        <v>18</v>
      </c>
      <c r="J396" s="1">
        <v>40</v>
      </c>
      <c r="K396" s="1" t="s">
        <v>52</v>
      </c>
      <c r="L396" s="3">
        <v>139599</v>
      </c>
      <c r="M396" s="3">
        <v>139599</v>
      </c>
      <c r="N396" s="1" t="s">
        <v>29</v>
      </c>
      <c r="O396" s="5" t="str" cm="1">
        <f t="array" ref="O396">_xlfn.IFS(Table1[[#This Row],[Age]]&lt;25,"Young",Table1[[#This Row],[Age]]&lt;45,"Adult",Table1[[#This Row],[Age]]&gt;=45,"Old")</f>
        <v>Old</v>
      </c>
    </row>
    <row r="397" spans="1:15" x14ac:dyDescent="0.25">
      <c r="A397" s="1">
        <v>21469</v>
      </c>
      <c r="B397" s="1" t="s">
        <v>72</v>
      </c>
      <c r="C397" s="1" t="s">
        <v>148</v>
      </c>
      <c r="D397" s="1">
        <v>40</v>
      </c>
      <c r="E397" s="1">
        <v>8</v>
      </c>
      <c r="F397" s="1" t="s">
        <v>953</v>
      </c>
      <c r="G397" s="1" t="s">
        <v>45</v>
      </c>
      <c r="H397" s="1" t="s">
        <v>24</v>
      </c>
      <c r="I397" s="1" t="s">
        <v>18</v>
      </c>
      <c r="J397" s="1">
        <v>20</v>
      </c>
      <c r="K397" s="1" t="s">
        <v>25</v>
      </c>
      <c r="L397" s="3">
        <v>106294</v>
      </c>
      <c r="M397" s="3">
        <v>53147</v>
      </c>
      <c r="N397" s="1" t="s">
        <v>29</v>
      </c>
      <c r="O397" s="5" t="str" cm="1">
        <f t="array" ref="O397">_xlfn.IFS(Table1[[#This Row],[Age]]&lt;25,"Young",Table1[[#This Row],[Age]]&lt;45,"Adult",Table1[[#This Row],[Age]]&gt;=45,"Old")</f>
        <v>Adult</v>
      </c>
    </row>
    <row r="398" spans="1:15" x14ac:dyDescent="0.25">
      <c r="A398" s="1">
        <v>9337</v>
      </c>
      <c r="B398" s="1" t="s">
        <v>121</v>
      </c>
      <c r="C398" s="1" t="s">
        <v>229</v>
      </c>
      <c r="D398" s="1">
        <v>47</v>
      </c>
      <c r="E398" s="1">
        <v>1</v>
      </c>
      <c r="F398" s="1" t="s">
        <v>953</v>
      </c>
      <c r="G398" s="1" t="s">
        <v>35</v>
      </c>
      <c r="H398" s="1" t="s">
        <v>32</v>
      </c>
      <c r="I398" s="1" t="s">
        <v>18</v>
      </c>
      <c r="J398" s="1">
        <v>40</v>
      </c>
      <c r="K398" s="1" t="s">
        <v>25</v>
      </c>
      <c r="L398" s="3">
        <v>108151</v>
      </c>
      <c r="M398" s="3">
        <v>108151</v>
      </c>
      <c r="N398" s="1" t="s">
        <v>29</v>
      </c>
      <c r="O398" s="5" t="str" cm="1">
        <f t="array" ref="O398">_xlfn.IFS(Table1[[#This Row],[Age]]&lt;25,"Young",Table1[[#This Row],[Age]]&lt;45,"Adult",Table1[[#This Row],[Age]]&gt;=45,"Old")</f>
        <v>Old</v>
      </c>
    </row>
    <row r="399" spans="1:15" x14ac:dyDescent="0.25">
      <c r="A399" s="1">
        <v>17248</v>
      </c>
      <c r="B399" s="1" t="s">
        <v>391</v>
      </c>
      <c r="C399" s="1" t="s">
        <v>39</v>
      </c>
      <c r="D399" s="1">
        <v>41</v>
      </c>
      <c r="E399" s="1">
        <v>19</v>
      </c>
      <c r="F399" s="1" t="s">
        <v>953</v>
      </c>
      <c r="G399" s="1" t="s">
        <v>16</v>
      </c>
      <c r="H399" s="1" t="s">
        <v>36</v>
      </c>
      <c r="I399" s="1" t="s">
        <v>18</v>
      </c>
      <c r="J399" s="1">
        <v>40</v>
      </c>
      <c r="K399" s="1" t="s">
        <v>42</v>
      </c>
      <c r="L399" s="3">
        <v>74131</v>
      </c>
      <c r="M399" s="3">
        <v>74131</v>
      </c>
      <c r="N399" s="1" t="s">
        <v>20</v>
      </c>
      <c r="O399" s="5" t="str" cm="1">
        <f t="array" ref="O399">_xlfn.IFS(Table1[[#This Row],[Age]]&lt;25,"Young",Table1[[#This Row],[Age]]&lt;45,"Adult",Table1[[#This Row],[Age]]&gt;=45,"Old")</f>
        <v>Adult</v>
      </c>
    </row>
    <row r="400" spans="1:15" x14ac:dyDescent="0.25">
      <c r="A400" s="1">
        <v>16695</v>
      </c>
      <c r="B400" s="1" t="s">
        <v>589</v>
      </c>
      <c r="C400" s="1" t="s">
        <v>590</v>
      </c>
      <c r="D400" s="1">
        <v>32</v>
      </c>
      <c r="E400" s="1">
        <v>3</v>
      </c>
      <c r="F400" s="1" t="s">
        <v>954</v>
      </c>
      <c r="G400" s="1" t="s">
        <v>23</v>
      </c>
      <c r="H400" s="1" t="s">
        <v>24</v>
      </c>
      <c r="I400" s="1" t="s">
        <v>18</v>
      </c>
      <c r="J400" s="1">
        <v>40</v>
      </c>
      <c r="K400" s="1" t="s">
        <v>25</v>
      </c>
      <c r="L400" s="3">
        <v>111797</v>
      </c>
      <c r="M400" s="3">
        <v>111797</v>
      </c>
      <c r="N400" s="1" t="s">
        <v>26</v>
      </c>
      <c r="O400" s="5" t="str" cm="1">
        <f t="array" ref="O400">_xlfn.IFS(Table1[[#This Row],[Age]]&lt;25,"Young",Table1[[#This Row],[Age]]&lt;45,"Adult",Table1[[#This Row],[Age]]&gt;=45,"Old")</f>
        <v>Adult</v>
      </c>
    </row>
    <row r="401" spans="1:15" x14ac:dyDescent="0.25">
      <c r="A401" s="1">
        <v>15042</v>
      </c>
      <c r="B401" s="1" t="s">
        <v>355</v>
      </c>
      <c r="C401" s="1" t="s">
        <v>61</v>
      </c>
      <c r="D401" s="1">
        <v>58</v>
      </c>
      <c r="E401" s="1">
        <v>21</v>
      </c>
      <c r="F401" s="1" t="s">
        <v>954</v>
      </c>
      <c r="G401" s="1" t="s">
        <v>23</v>
      </c>
      <c r="H401" s="1" t="s">
        <v>24</v>
      </c>
      <c r="I401" s="1" t="s">
        <v>18</v>
      </c>
      <c r="J401" s="1">
        <v>20</v>
      </c>
      <c r="K401" s="1" t="s">
        <v>19</v>
      </c>
      <c r="L401" s="3">
        <v>123856</v>
      </c>
      <c r="M401" s="3">
        <v>61928</v>
      </c>
      <c r="N401" s="1" t="s">
        <v>29</v>
      </c>
      <c r="O401" s="5" t="str" cm="1">
        <f t="array" ref="O401">_xlfn.IFS(Table1[[#This Row],[Age]]&lt;25,"Young",Table1[[#This Row],[Age]]&lt;45,"Adult",Table1[[#This Row],[Age]]&gt;=45,"Old")</f>
        <v>Old</v>
      </c>
    </row>
    <row r="402" spans="1:15" x14ac:dyDescent="0.25">
      <c r="A402" s="1">
        <v>4267</v>
      </c>
      <c r="B402" s="1" t="s">
        <v>423</v>
      </c>
      <c r="C402" s="1" t="s">
        <v>424</v>
      </c>
      <c r="D402" s="1">
        <v>56</v>
      </c>
      <c r="E402" s="1">
        <v>7</v>
      </c>
      <c r="F402" s="1" t="s">
        <v>954</v>
      </c>
      <c r="G402" s="1" t="s">
        <v>16</v>
      </c>
      <c r="H402" s="1" t="s">
        <v>17</v>
      </c>
      <c r="I402" s="1" t="s">
        <v>18</v>
      </c>
      <c r="J402" s="1">
        <v>20</v>
      </c>
      <c r="K402" s="1" t="s">
        <v>25</v>
      </c>
      <c r="L402" s="3">
        <v>104930</v>
      </c>
      <c r="M402" s="3">
        <v>52465</v>
      </c>
      <c r="N402" s="1" t="s">
        <v>29</v>
      </c>
      <c r="O402" s="5" t="str" cm="1">
        <f t="array" ref="O402">_xlfn.IFS(Table1[[#This Row],[Age]]&lt;25,"Young",Table1[[#This Row],[Age]]&lt;45,"Adult",Table1[[#This Row],[Age]]&gt;=45,"Old")</f>
        <v>Old</v>
      </c>
    </row>
    <row r="403" spans="1:15" x14ac:dyDescent="0.25">
      <c r="A403" s="1">
        <v>8915</v>
      </c>
      <c r="B403" s="1" t="s">
        <v>591</v>
      </c>
      <c r="C403" s="1" t="s">
        <v>592</v>
      </c>
      <c r="D403" s="1">
        <v>19</v>
      </c>
      <c r="E403" s="1">
        <v>1</v>
      </c>
      <c r="F403" s="1" t="s">
        <v>953</v>
      </c>
      <c r="G403" s="1" t="s">
        <v>50</v>
      </c>
      <c r="H403" s="1" t="s">
        <v>192</v>
      </c>
      <c r="I403" s="1" t="s">
        <v>18</v>
      </c>
      <c r="J403" s="1">
        <v>8</v>
      </c>
      <c r="K403" s="1" t="s">
        <v>19</v>
      </c>
      <c r="L403" s="3">
        <v>124200</v>
      </c>
      <c r="M403" s="3">
        <v>24840</v>
      </c>
      <c r="N403" s="1" t="s">
        <v>29</v>
      </c>
      <c r="O403" s="5" t="str" cm="1">
        <f t="array" ref="O403">_xlfn.IFS(Table1[[#This Row],[Age]]&lt;25,"Young",Table1[[#This Row],[Age]]&lt;45,"Adult",Table1[[#This Row],[Age]]&gt;=45,"Old")</f>
        <v>Young</v>
      </c>
    </row>
    <row r="404" spans="1:15" x14ac:dyDescent="0.25">
      <c r="A404" s="1">
        <v>2351</v>
      </c>
      <c r="B404" s="1" t="s">
        <v>593</v>
      </c>
      <c r="C404" s="1" t="s">
        <v>594</v>
      </c>
      <c r="D404" s="1">
        <v>41</v>
      </c>
      <c r="E404" s="1">
        <v>1</v>
      </c>
      <c r="F404" s="1" t="s">
        <v>953</v>
      </c>
      <c r="G404" s="1" t="s">
        <v>16</v>
      </c>
      <c r="H404" s="1" t="s">
        <v>32</v>
      </c>
      <c r="I404" s="1" t="s">
        <v>18</v>
      </c>
      <c r="J404" s="1">
        <v>32</v>
      </c>
      <c r="K404" s="1" t="s">
        <v>42</v>
      </c>
      <c r="L404" s="3">
        <v>81955</v>
      </c>
      <c r="M404" s="3">
        <v>65564</v>
      </c>
      <c r="N404" s="1" t="s">
        <v>29</v>
      </c>
      <c r="O404" s="5" t="str" cm="1">
        <f t="array" ref="O404">_xlfn.IFS(Table1[[#This Row],[Age]]&lt;25,"Young",Table1[[#This Row],[Age]]&lt;45,"Adult",Table1[[#This Row],[Age]]&gt;=45,"Old")</f>
        <v>Adult</v>
      </c>
    </row>
    <row r="405" spans="1:15" x14ac:dyDescent="0.25">
      <c r="A405" s="1">
        <v>3711</v>
      </c>
      <c r="B405" s="1" t="s">
        <v>346</v>
      </c>
      <c r="C405" s="1" t="s">
        <v>595</v>
      </c>
      <c r="D405" s="1">
        <v>43</v>
      </c>
      <c r="E405" s="1">
        <v>8</v>
      </c>
      <c r="F405" s="1" t="s">
        <v>954</v>
      </c>
      <c r="G405" s="1" t="s">
        <v>35</v>
      </c>
      <c r="H405" s="1" t="s">
        <v>32</v>
      </c>
      <c r="I405" s="1" t="s">
        <v>18</v>
      </c>
      <c r="J405" s="1">
        <v>40</v>
      </c>
      <c r="K405" s="1" t="s">
        <v>37</v>
      </c>
      <c r="L405" s="3">
        <v>85000</v>
      </c>
      <c r="M405" s="3">
        <v>85000</v>
      </c>
      <c r="N405" s="1" t="s">
        <v>29</v>
      </c>
      <c r="O405" s="5" t="str" cm="1">
        <f t="array" ref="O405">_xlfn.IFS(Table1[[#This Row],[Age]]&lt;25,"Young",Table1[[#This Row],[Age]]&lt;45,"Adult",Table1[[#This Row],[Age]]&gt;=45,"Old")</f>
        <v>Adult</v>
      </c>
    </row>
    <row r="406" spans="1:15" x14ac:dyDescent="0.25">
      <c r="A406" s="1">
        <v>21471</v>
      </c>
      <c r="B406" s="1" t="s">
        <v>596</v>
      </c>
      <c r="C406" s="1" t="s">
        <v>597</v>
      </c>
      <c r="D406" s="1">
        <v>52</v>
      </c>
      <c r="E406" s="1">
        <v>19</v>
      </c>
      <c r="F406" s="1" t="s">
        <v>953</v>
      </c>
      <c r="G406" s="1" t="s">
        <v>23</v>
      </c>
      <c r="H406" s="1" t="s">
        <v>36</v>
      </c>
      <c r="I406" s="1" t="s">
        <v>18</v>
      </c>
      <c r="J406" s="1">
        <v>40</v>
      </c>
      <c r="K406" s="1" t="s">
        <v>25</v>
      </c>
      <c r="L406" s="3">
        <v>122000</v>
      </c>
      <c r="M406" s="3">
        <v>122000</v>
      </c>
      <c r="N406" s="1" t="s">
        <v>26</v>
      </c>
      <c r="O406" s="5" t="str" cm="1">
        <f t="array" ref="O406">_xlfn.IFS(Table1[[#This Row],[Age]]&lt;25,"Young",Table1[[#This Row],[Age]]&lt;45,"Adult",Table1[[#This Row],[Age]]&gt;=45,"Old")</f>
        <v>Old</v>
      </c>
    </row>
    <row r="407" spans="1:15" x14ac:dyDescent="0.25">
      <c r="A407" s="1">
        <v>9753</v>
      </c>
      <c r="B407" s="1" t="s">
        <v>598</v>
      </c>
      <c r="C407" s="1" t="s">
        <v>599</v>
      </c>
      <c r="D407" s="1">
        <v>25</v>
      </c>
      <c r="E407" s="1">
        <v>5</v>
      </c>
      <c r="F407" s="1" t="s">
        <v>954</v>
      </c>
      <c r="G407" s="1" t="s">
        <v>45</v>
      </c>
      <c r="H407" s="1" t="s">
        <v>36</v>
      </c>
      <c r="I407" s="1" t="s">
        <v>18</v>
      </c>
      <c r="J407" s="1">
        <v>40</v>
      </c>
      <c r="K407" s="1" t="s">
        <v>25</v>
      </c>
      <c r="L407" s="3">
        <v>111526</v>
      </c>
      <c r="M407" s="3">
        <v>111526</v>
      </c>
      <c r="N407" s="1" t="s">
        <v>29</v>
      </c>
      <c r="O407" s="5" t="str" cm="1">
        <f t="array" ref="O407">_xlfn.IFS(Table1[[#This Row],[Age]]&lt;25,"Young",Table1[[#This Row],[Age]]&lt;45,"Adult",Table1[[#This Row],[Age]]&gt;=45,"Old")</f>
        <v>Adult</v>
      </c>
    </row>
    <row r="408" spans="1:15" x14ac:dyDescent="0.25">
      <c r="A408" s="1">
        <v>2131</v>
      </c>
      <c r="B408" s="1" t="s">
        <v>600</v>
      </c>
      <c r="C408" s="1" t="s">
        <v>601</v>
      </c>
      <c r="D408" s="1">
        <v>50</v>
      </c>
      <c r="E408" s="1">
        <v>20</v>
      </c>
      <c r="F408" s="1" t="s">
        <v>953</v>
      </c>
      <c r="G408" s="1" t="s">
        <v>45</v>
      </c>
      <c r="H408" s="1" t="s">
        <v>36</v>
      </c>
      <c r="I408" s="1" t="s">
        <v>18</v>
      </c>
      <c r="J408" s="1">
        <v>32</v>
      </c>
      <c r="K408" s="1" t="s">
        <v>42</v>
      </c>
      <c r="L408" s="3">
        <v>73440</v>
      </c>
      <c r="M408" s="3">
        <v>58752</v>
      </c>
      <c r="N408" s="1" t="s">
        <v>20</v>
      </c>
      <c r="O408" s="5" t="str" cm="1">
        <f t="array" ref="O408">_xlfn.IFS(Table1[[#This Row],[Age]]&lt;25,"Young",Table1[[#This Row],[Age]]&lt;45,"Adult",Table1[[#This Row],[Age]]&gt;=45,"Old")</f>
        <v>Old</v>
      </c>
    </row>
    <row r="409" spans="1:15" x14ac:dyDescent="0.25">
      <c r="A409" s="1">
        <v>803</v>
      </c>
      <c r="B409" s="1" t="s">
        <v>602</v>
      </c>
      <c r="C409" s="1" t="s">
        <v>246</v>
      </c>
      <c r="D409" s="1">
        <v>28</v>
      </c>
      <c r="E409" s="1">
        <v>10</v>
      </c>
      <c r="F409" s="1" t="s">
        <v>953</v>
      </c>
      <c r="G409" s="1" t="s">
        <v>45</v>
      </c>
      <c r="H409" s="1" t="s">
        <v>24</v>
      </c>
      <c r="I409" s="1" t="s">
        <v>18</v>
      </c>
      <c r="J409" s="1">
        <v>40</v>
      </c>
      <c r="K409" s="1" t="s">
        <v>25</v>
      </c>
      <c r="L409" s="3">
        <v>116135</v>
      </c>
      <c r="M409" s="3">
        <v>116135</v>
      </c>
      <c r="N409" s="1" t="s">
        <v>26</v>
      </c>
      <c r="O409" s="5" t="str" cm="1">
        <f t="array" ref="O409">_xlfn.IFS(Table1[[#This Row],[Age]]&lt;25,"Young",Table1[[#This Row],[Age]]&lt;45,"Adult",Table1[[#This Row],[Age]]&gt;=45,"Old")</f>
        <v>Adult</v>
      </c>
    </row>
    <row r="410" spans="1:15" x14ac:dyDescent="0.25">
      <c r="A410" s="1">
        <v>11616</v>
      </c>
      <c r="B410" s="1" t="s">
        <v>603</v>
      </c>
      <c r="C410" s="1" t="s">
        <v>83</v>
      </c>
      <c r="D410" s="1">
        <v>23</v>
      </c>
      <c r="E410" s="1">
        <v>0</v>
      </c>
      <c r="F410" s="1" t="s">
        <v>953</v>
      </c>
      <c r="G410" s="1" t="s">
        <v>45</v>
      </c>
      <c r="H410" s="1" t="s">
        <v>32</v>
      </c>
      <c r="I410" s="1" t="s">
        <v>18</v>
      </c>
      <c r="J410" s="1">
        <v>24</v>
      </c>
      <c r="K410" s="1" t="s">
        <v>42</v>
      </c>
      <c r="L410" s="3">
        <v>73440</v>
      </c>
      <c r="M410" s="3">
        <v>44064</v>
      </c>
      <c r="N410" s="1" t="s">
        <v>20</v>
      </c>
      <c r="O410" s="5" t="str" cm="1">
        <f t="array" ref="O410">_xlfn.IFS(Table1[[#This Row],[Age]]&lt;25,"Young",Table1[[#This Row],[Age]]&lt;45,"Adult",Table1[[#This Row],[Age]]&gt;=45,"Old")</f>
        <v>Young</v>
      </c>
    </row>
    <row r="411" spans="1:15" x14ac:dyDescent="0.25">
      <c r="A411" s="1">
        <v>4973</v>
      </c>
      <c r="B411" s="1" t="s">
        <v>171</v>
      </c>
      <c r="C411" s="1" t="s">
        <v>83</v>
      </c>
      <c r="D411" s="1">
        <v>35</v>
      </c>
      <c r="E411" s="1">
        <v>8</v>
      </c>
      <c r="F411" s="1" t="s">
        <v>953</v>
      </c>
      <c r="G411" s="1" t="s">
        <v>23</v>
      </c>
      <c r="H411" s="1" t="s">
        <v>24</v>
      </c>
      <c r="I411" s="1" t="s">
        <v>18</v>
      </c>
      <c r="J411" s="1">
        <v>40</v>
      </c>
      <c r="K411" s="1" t="s">
        <v>25</v>
      </c>
      <c r="L411" s="3">
        <v>122000</v>
      </c>
      <c r="M411" s="3">
        <v>122000</v>
      </c>
      <c r="N411" s="1" t="s">
        <v>26</v>
      </c>
      <c r="O411" s="5" t="str" cm="1">
        <f t="array" ref="O411">_xlfn.IFS(Table1[[#This Row],[Age]]&lt;25,"Young",Table1[[#This Row],[Age]]&lt;45,"Adult",Table1[[#This Row],[Age]]&gt;=45,"Old")</f>
        <v>Adult</v>
      </c>
    </row>
    <row r="412" spans="1:15" x14ac:dyDescent="0.25">
      <c r="A412" s="1">
        <v>21563</v>
      </c>
      <c r="B412" s="1" t="s">
        <v>241</v>
      </c>
      <c r="C412" s="1" t="s">
        <v>604</v>
      </c>
      <c r="D412" s="1">
        <v>59</v>
      </c>
      <c r="E412" s="1">
        <v>21</v>
      </c>
      <c r="F412" s="1" t="s">
        <v>954</v>
      </c>
      <c r="G412" s="1" t="s">
        <v>35</v>
      </c>
      <c r="H412" s="1" t="s">
        <v>192</v>
      </c>
      <c r="I412" s="1" t="s">
        <v>51</v>
      </c>
      <c r="J412" s="1">
        <v>20</v>
      </c>
      <c r="K412" s="1" t="s">
        <v>25</v>
      </c>
      <c r="L412" s="3">
        <v>98000</v>
      </c>
      <c r="M412" s="3">
        <v>49000</v>
      </c>
      <c r="N412" s="1" t="s">
        <v>29</v>
      </c>
      <c r="O412" s="5" t="str" cm="1">
        <f t="array" ref="O412">_xlfn.IFS(Table1[[#This Row],[Age]]&lt;25,"Young",Table1[[#This Row],[Age]]&lt;45,"Adult",Table1[[#This Row],[Age]]&gt;=45,"Old")</f>
        <v>Old</v>
      </c>
    </row>
    <row r="413" spans="1:15" x14ac:dyDescent="0.25">
      <c r="A413" s="1">
        <v>9270</v>
      </c>
      <c r="B413" s="1" t="s">
        <v>391</v>
      </c>
      <c r="C413" s="1" t="s">
        <v>411</v>
      </c>
      <c r="D413" s="1">
        <v>29</v>
      </c>
      <c r="E413" s="1">
        <v>11</v>
      </c>
      <c r="F413" s="1" t="s">
        <v>953</v>
      </c>
      <c r="G413" s="1" t="s">
        <v>23</v>
      </c>
      <c r="H413" s="1" t="s">
        <v>64</v>
      </c>
      <c r="I413" s="1" t="s">
        <v>18</v>
      </c>
      <c r="J413" s="1">
        <v>32</v>
      </c>
      <c r="K413" s="1" t="s">
        <v>52</v>
      </c>
      <c r="L413" s="3">
        <v>140400</v>
      </c>
      <c r="M413" s="3">
        <v>112320</v>
      </c>
      <c r="N413" s="1" t="s">
        <v>29</v>
      </c>
      <c r="O413" s="5" t="str" cm="1">
        <f t="array" ref="O413">_xlfn.IFS(Table1[[#This Row],[Age]]&lt;25,"Young",Table1[[#This Row],[Age]]&lt;45,"Adult",Table1[[#This Row],[Age]]&gt;=45,"Old")</f>
        <v>Adult</v>
      </c>
    </row>
    <row r="414" spans="1:15" x14ac:dyDescent="0.25">
      <c r="A414" s="1">
        <v>5981</v>
      </c>
      <c r="B414" s="1" t="s">
        <v>605</v>
      </c>
      <c r="C414" s="1" t="s">
        <v>606</v>
      </c>
      <c r="D414" s="1">
        <v>37</v>
      </c>
      <c r="E414" s="1">
        <v>13</v>
      </c>
      <c r="F414" s="1" t="s">
        <v>954</v>
      </c>
      <c r="G414" s="1" t="s">
        <v>35</v>
      </c>
      <c r="H414" s="1" t="s">
        <v>36</v>
      </c>
      <c r="I414" s="1" t="s">
        <v>18</v>
      </c>
      <c r="J414" s="1">
        <v>16</v>
      </c>
      <c r="K414" s="1" t="s">
        <v>42</v>
      </c>
      <c r="L414" s="3">
        <v>68000</v>
      </c>
      <c r="M414" s="3">
        <v>27200</v>
      </c>
      <c r="N414" s="1" t="s">
        <v>29</v>
      </c>
      <c r="O414" s="5" t="str" cm="1">
        <f t="array" ref="O414">_xlfn.IFS(Table1[[#This Row],[Age]]&lt;25,"Young",Table1[[#This Row],[Age]]&lt;45,"Adult",Table1[[#This Row],[Age]]&gt;=45,"Old")</f>
        <v>Adult</v>
      </c>
    </row>
    <row r="415" spans="1:15" x14ac:dyDescent="0.25">
      <c r="A415" s="1">
        <v>15165</v>
      </c>
      <c r="B415" s="1" t="s">
        <v>607</v>
      </c>
      <c r="C415" s="1" t="s">
        <v>608</v>
      </c>
      <c r="D415" s="1">
        <v>57</v>
      </c>
      <c r="E415" s="1">
        <v>38</v>
      </c>
      <c r="F415" s="1" t="s">
        <v>954</v>
      </c>
      <c r="G415" s="1" t="s">
        <v>16</v>
      </c>
      <c r="H415" s="1" t="s">
        <v>24</v>
      </c>
      <c r="I415" s="1" t="s">
        <v>18</v>
      </c>
      <c r="J415" s="1">
        <v>40</v>
      </c>
      <c r="K415" s="1" t="s">
        <v>25</v>
      </c>
      <c r="L415" s="3">
        <v>98000</v>
      </c>
      <c r="M415" s="3">
        <v>98000</v>
      </c>
      <c r="N415" s="1" t="s">
        <v>29</v>
      </c>
      <c r="O415" s="5" t="str" cm="1">
        <f t="array" ref="O415">_xlfn.IFS(Table1[[#This Row],[Age]]&lt;25,"Young",Table1[[#This Row],[Age]]&lt;45,"Adult",Table1[[#This Row],[Age]]&gt;=45,"Old")</f>
        <v>Old</v>
      </c>
    </row>
    <row r="416" spans="1:15" x14ac:dyDescent="0.25">
      <c r="A416" s="1">
        <v>18764</v>
      </c>
      <c r="B416" s="1" t="s">
        <v>58</v>
      </c>
      <c r="C416" s="1" t="s">
        <v>194</v>
      </c>
      <c r="D416" s="1">
        <v>31</v>
      </c>
      <c r="E416" s="1">
        <v>0</v>
      </c>
      <c r="F416" s="1" t="s">
        <v>953</v>
      </c>
      <c r="G416" s="1" t="s">
        <v>16</v>
      </c>
      <c r="H416" s="1" t="s">
        <v>36</v>
      </c>
      <c r="I416" s="1" t="s">
        <v>18</v>
      </c>
      <c r="J416" s="1">
        <v>40</v>
      </c>
      <c r="K416" s="1" t="s">
        <v>37</v>
      </c>
      <c r="L416" s="3">
        <v>96549</v>
      </c>
      <c r="M416" s="3">
        <v>96549</v>
      </c>
      <c r="N416" s="1" t="s">
        <v>29</v>
      </c>
      <c r="O416" s="5" t="str" cm="1">
        <f t="array" ref="O416">_xlfn.IFS(Table1[[#This Row],[Age]]&lt;25,"Young",Table1[[#This Row],[Age]]&lt;45,"Adult",Table1[[#This Row],[Age]]&gt;=45,"Old")</f>
        <v>Adult</v>
      </c>
    </row>
    <row r="417" spans="1:15" x14ac:dyDescent="0.25">
      <c r="A417" s="1">
        <v>14701</v>
      </c>
      <c r="B417" s="1" t="s">
        <v>609</v>
      </c>
      <c r="C417" s="1" t="s">
        <v>148</v>
      </c>
      <c r="D417" s="1">
        <v>60</v>
      </c>
      <c r="E417" s="1">
        <v>32</v>
      </c>
      <c r="F417" s="1" t="s">
        <v>954</v>
      </c>
      <c r="G417" s="1" t="s">
        <v>45</v>
      </c>
      <c r="H417" s="1" t="s">
        <v>32</v>
      </c>
      <c r="I417" s="1" t="s">
        <v>18</v>
      </c>
      <c r="J417" s="1">
        <v>40</v>
      </c>
      <c r="K417" s="1" t="s">
        <v>37</v>
      </c>
      <c r="L417" s="3">
        <v>95795</v>
      </c>
      <c r="M417" s="3">
        <v>95795</v>
      </c>
      <c r="N417" s="1" t="s">
        <v>29</v>
      </c>
      <c r="O417" s="5" t="str" cm="1">
        <f t="array" ref="O417">_xlfn.IFS(Table1[[#This Row],[Age]]&lt;25,"Young",Table1[[#This Row],[Age]]&lt;45,"Adult",Table1[[#This Row],[Age]]&gt;=45,"Old")</f>
        <v>Old</v>
      </c>
    </row>
    <row r="418" spans="1:15" x14ac:dyDescent="0.25">
      <c r="A418" s="1">
        <v>19066</v>
      </c>
      <c r="B418" s="1" t="s">
        <v>65</v>
      </c>
      <c r="C418" s="1" t="s">
        <v>161</v>
      </c>
      <c r="D418" s="1">
        <v>30</v>
      </c>
      <c r="E418" s="1">
        <v>0</v>
      </c>
      <c r="F418" s="1" t="s">
        <v>953</v>
      </c>
      <c r="G418" s="1" t="s">
        <v>23</v>
      </c>
      <c r="H418" s="1" t="s">
        <v>24</v>
      </c>
      <c r="I418" s="1" t="s">
        <v>18</v>
      </c>
      <c r="J418" s="1">
        <v>16</v>
      </c>
      <c r="K418" s="1" t="s">
        <v>25</v>
      </c>
      <c r="L418" s="3">
        <v>105840</v>
      </c>
      <c r="M418" s="3">
        <v>42336</v>
      </c>
      <c r="N418" s="1" t="s">
        <v>20</v>
      </c>
      <c r="O418" s="5" t="str" cm="1">
        <f t="array" ref="O418">_xlfn.IFS(Table1[[#This Row],[Age]]&lt;25,"Young",Table1[[#This Row],[Age]]&lt;45,"Adult",Table1[[#This Row],[Age]]&gt;=45,"Old")</f>
        <v>Adult</v>
      </c>
    </row>
    <row r="419" spans="1:15" x14ac:dyDescent="0.25">
      <c r="A419" s="1">
        <v>1003</v>
      </c>
      <c r="B419" s="1" t="s">
        <v>610</v>
      </c>
      <c r="C419" s="1" t="s">
        <v>516</v>
      </c>
      <c r="D419" s="1">
        <v>38</v>
      </c>
      <c r="E419" s="1">
        <v>2</v>
      </c>
      <c r="F419" s="1" t="s">
        <v>953</v>
      </c>
      <c r="G419" s="1" t="s">
        <v>35</v>
      </c>
      <c r="H419" s="1" t="s">
        <v>32</v>
      </c>
      <c r="I419" s="1" t="s">
        <v>18</v>
      </c>
      <c r="J419" s="1">
        <v>24</v>
      </c>
      <c r="K419" s="1" t="s">
        <v>42</v>
      </c>
      <c r="L419" s="3">
        <v>78309</v>
      </c>
      <c r="M419" s="3">
        <v>46985.4</v>
      </c>
      <c r="N419" s="1" t="s">
        <v>26</v>
      </c>
      <c r="O419" s="5" t="str" cm="1">
        <f t="array" ref="O419">_xlfn.IFS(Table1[[#This Row],[Age]]&lt;25,"Young",Table1[[#This Row],[Age]]&lt;45,"Adult",Table1[[#This Row],[Age]]&gt;=45,"Old")</f>
        <v>Adult</v>
      </c>
    </row>
    <row r="420" spans="1:15" x14ac:dyDescent="0.25">
      <c r="A420" s="1">
        <v>3152</v>
      </c>
      <c r="B420" s="1" t="s">
        <v>411</v>
      </c>
      <c r="C420" s="1" t="s">
        <v>611</v>
      </c>
      <c r="D420" s="1">
        <v>50</v>
      </c>
      <c r="E420" s="1">
        <v>13</v>
      </c>
      <c r="F420" s="1" t="s">
        <v>954</v>
      </c>
      <c r="G420" s="1" t="s">
        <v>23</v>
      </c>
      <c r="H420" s="1" t="s">
        <v>36</v>
      </c>
      <c r="I420" s="1" t="s">
        <v>18</v>
      </c>
      <c r="J420" s="1">
        <v>40</v>
      </c>
      <c r="K420" s="1" t="s">
        <v>19</v>
      </c>
      <c r="L420" s="3">
        <v>115000</v>
      </c>
      <c r="M420" s="3">
        <v>115000</v>
      </c>
      <c r="N420" s="1" t="s">
        <v>29</v>
      </c>
      <c r="O420" s="5" t="str" cm="1">
        <f t="array" ref="O420">_xlfn.IFS(Table1[[#This Row],[Age]]&lt;25,"Young",Table1[[#This Row],[Age]]&lt;45,"Adult",Table1[[#This Row],[Age]]&gt;=45,"Old")</f>
        <v>Old</v>
      </c>
    </row>
    <row r="421" spans="1:15" x14ac:dyDescent="0.25">
      <c r="A421" s="1">
        <v>5571</v>
      </c>
      <c r="B421" s="1" t="s">
        <v>612</v>
      </c>
      <c r="C421" s="1" t="s">
        <v>613</v>
      </c>
      <c r="D421" s="1">
        <v>55</v>
      </c>
      <c r="E421" s="1">
        <v>11</v>
      </c>
      <c r="F421" s="1" t="s">
        <v>953</v>
      </c>
      <c r="G421" s="1" t="s">
        <v>35</v>
      </c>
      <c r="H421" s="1" t="s">
        <v>36</v>
      </c>
      <c r="I421" s="1" t="s">
        <v>18</v>
      </c>
      <c r="J421" s="1">
        <v>8</v>
      </c>
      <c r="K421" s="1" t="s">
        <v>42</v>
      </c>
      <c r="L421" s="3">
        <v>73440</v>
      </c>
      <c r="M421" s="3">
        <v>14688</v>
      </c>
      <c r="N421" s="1" t="s">
        <v>29</v>
      </c>
      <c r="O421" s="5" t="str" cm="1">
        <f t="array" ref="O421">_xlfn.IFS(Table1[[#This Row],[Age]]&lt;25,"Young",Table1[[#This Row],[Age]]&lt;45,"Adult",Table1[[#This Row],[Age]]&gt;=45,"Old")</f>
        <v>Old</v>
      </c>
    </row>
    <row r="422" spans="1:15" x14ac:dyDescent="0.25">
      <c r="A422" s="1">
        <v>18564</v>
      </c>
      <c r="B422" s="1" t="s">
        <v>614</v>
      </c>
      <c r="C422" s="1" t="s">
        <v>615</v>
      </c>
      <c r="D422" s="1">
        <v>65</v>
      </c>
      <c r="E422" s="1">
        <v>26</v>
      </c>
      <c r="F422" s="1" t="s">
        <v>953</v>
      </c>
      <c r="G422" s="1" t="s">
        <v>45</v>
      </c>
      <c r="H422" s="1" t="s">
        <v>192</v>
      </c>
      <c r="I422" s="1" t="s">
        <v>51</v>
      </c>
      <c r="J422" s="1">
        <v>20</v>
      </c>
      <c r="K422" s="1" t="s">
        <v>37</v>
      </c>
      <c r="L422" s="3">
        <v>91800</v>
      </c>
      <c r="M422" s="3">
        <v>45900</v>
      </c>
      <c r="N422" s="1" t="s">
        <v>20</v>
      </c>
      <c r="O422" s="5" t="str" cm="1">
        <f t="array" ref="O422">_xlfn.IFS(Table1[[#This Row],[Age]]&lt;25,"Young",Table1[[#This Row],[Age]]&lt;45,"Adult",Table1[[#This Row],[Age]]&gt;=45,"Old")</f>
        <v>Old</v>
      </c>
    </row>
    <row r="423" spans="1:15" x14ac:dyDescent="0.25">
      <c r="A423" s="1">
        <v>1867</v>
      </c>
      <c r="B423" s="1" t="s">
        <v>574</v>
      </c>
      <c r="C423" s="1" t="s">
        <v>616</v>
      </c>
      <c r="D423" s="1">
        <v>47</v>
      </c>
      <c r="E423" s="1">
        <v>15</v>
      </c>
      <c r="F423" s="1" t="s">
        <v>954</v>
      </c>
      <c r="G423" s="1" t="s">
        <v>45</v>
      </c>
      <c r="H423" s="1" t="s">
        <v>32</v>
      </c>
      <c r="I423" s="1" t="s">
        <v>18</v>
      </c>
      <c r="J423" s="1">
        <v>20</v>
      </c>
      <c r="K423" s="1" t="s">
        <v>25</v>
      </c>
      <c r="L423" s="3">
        <v>98000</v>
      </c>
      <c r="M423" s="3">
        <v>49000</v>
      </c>
      <c r="N423" s="1" t="s">
        <v>20</v>
      </c>
      <c r="O423" s="5" t="str" cm="1">
        <f t="array" ref="O423">_xlfn.IFS(Table1[[#This Row],[Age]]&lt;25,"Young",Table1[[#This Row],[Age]]&lt;45,"Adult",Table1[[#This Row],[Age]]&gt;=45,"Old")</f>
        <v>Old</v>
      </c>
    </row>
    <row r="424" spans="1:15" x14ac:dyDescent="0.25">
      <c r="A424" s="1">
        <v>12785</v>
      </c>
      <c r="B424" s="1" t="s">
        <v>617</v>
      </c>
      <c r="C424" s="1" t="s">
        <v>518</v>
      </c>
      <c r="D424" s="1">
        <v>32</v>
      </c>
      <c r="E424" s="1">
        <v>13</v>
      </c>
      <c r="F424" s="1" t="s">
        <v>954</v>
      </c>
      <c r="G424" s="1" t="s">
        <v>23</v>
      </c>
      <c r="H424" s="1" t="s">
        <v>36</v>
      </c>
      <c r="I424" s="1" t="s">
        <v>18</v>
      </c>
      <c r="J424" s="1">
        <v>40</v>
      </c>
      <c r="K424" s="1" t="s">
        <v>37</v>
      </c>
      <c r="L424" s="3">
        <v>96858</v>
      </c>
      <c r="M424" s="3">
        <v>96858</v>
      </c>
      <c r="N424" s="1" t="s">
        <v>29</v>
      </c>
      <c r="O424" s="5" t="str" cm="1">
        <f t="array" ref="O424">_xlfn.IFS(Table1[[#This Row],[Age]]&lt;25,"Young",Table1[[#This Row],[Age]]&lt;45,"Adult",Table1[[#This Row],[Age]]&gt;=45,"Old")</f>
        <v>Adult</v>
      </c>
    </row>
    <row r="425" spans="1:15" x14ac:dyDescent="0.25">
      <c r="A425" s="1">
        <v>19774</v>
      </c>
      <c r="B425" s="1" t="s">
        <v>618</v>
      </c>
      <c r="C425" s="1" t="s">
        <v>619</v>
      </c>
      <c r="D425" s="1">
        <v>41</v>
      </c>
      <c r="E425" s="1">
        <v>12</v>
      </c>
      <c r="F425" s="1" t="s">
        <v>953</v>
      </c>
      <c r="G425" s="1" t="s">
        <v>35</v>
      </c>
      <c r="H425" s="1" t="s">
        <v>64</v>
      </c>
      <c r="I425" s="1" t="s">
        <v>18</v>
      </c>
      <c r="J425" s="1">
        <v>20</v>
      </c>
      <c r="K425" s="1" t="s">
        <v>25</v>
      </c>
      <c r="L425" s="3">
        <v>105840</v>
      </c>
      <c r="M425" s="3">
        <v>52920</v>
      </c>
      <c r="N425" s="1" t="s">
        <v>20</v>
      </c>
      <c r="O425" s="5" t="str" cm="1">
        <f t="array" ref="O425">_xlfn.IFS(Table1[[#This Row],[Age]]&lt;25,"Young",Table1[[#This Row],[Age]]&lt;45,"Adult",Table1[[#This Row],[Age]]&gt;=45,"Old")</f>
        <v>Adult</v>
      </c>
    </row>
    <row r="426" spans="1:15" x14ac:dyDescent="0.25">
      <c r="A426" s="1">
        <v>18792</v>
      </c>
      <c r="B426" s="1" t="s">
        <v>620</v>
      </c>
      <c r="C426" s="1" t="s">
        <v>621</v>
      </c>
      <c r="D426" s="1">
        <v>47</v>
      </c>
      <c r="E426" s="1">
        <v>13</v>
      </c>
      <c r="F426" s="1" t="s">
        <v>953</v>
      </c>
      <c r="G426" s="1" t="s">
        <v>50</v>
      </c>
      <c r="H426" s="1" t="s">
        <v>24</v>
      </c>
      <c r="I426" s="1" t="s">
        <v>51</v>
      </c>
      <c r="J426" s="1">
        <v>32</v>
      </c>
      <c r="K426" s="1" t="s">
        <v>19</v>
      </c>
      <c r="L426" s="3">
        <v>124200</v>
      </c>
      <c r="M426" s="3">
        <v>99360</v>
      </c>
      <c r="N426" s="1" t="s">
        <v>29</v>
      </c>
      <c r="O426" s="5" t="str" cm="1">
        <f t="array" ref="O426">_xlfn.IFS(Table1[[#This Row],[Age]]&lt;25,"Young",Table1[[#This Row],[Age]]&lt;45,"Adult",Table1[[#This Row],[Age]]&gt;=45,"Old")</f>
        <v>Old</v>
      </c>
    </row>
    <row r="427" spans="1:15" x14ac:dyDescent="0.25">
      <c r="A427" s="1">
        <v>5539</v>
      </c>
      <c r="B427" s="1" t="s">
        <v>622</v>
      </c>
      <c r="C427" s="1" t="s">
        <v>623</v>
      </c>
      <c r="D427" s="1">
        <v>37</v>
      </c>
      <c r="E427" s="1">
        <v>14</v>
      </c>
      <c r="F427" s="1" t="s">
        <v>953</v>
      </c>
      <c r="G427" s="1" t="s">
        <v>45</v>
      </c>
      <c r="H427" s="1" t="s">
        <v>24</v>
      </c>
      <c r="I427" s="1" t="s">
        <v>18</v>
      </c>
      <c r="J427" s="1">
        <v>40</v>
      </c>
      <c r="K427" s="1" t="s">
        <v>37</v>
      </c>
      <c r="L427" s="3">
        <v>92515</v>
      </c>
      <c r="M427" s="3">
        <v>92515</v>
      </c>
      <c r="N427" s="1" t="s">
        <v>29</v>
      </c>
      <c r="O427" s="5" t="str" cm="1">
        <f t="array" ref="O427">_xlfn.IFS(Table1[[#This Row],[Age]]&lt;25,"Young",Table1[[#This Row],[Age]]&lt;45,"Adult",Table1[[#This Row],[Age]]&gt;=45,"Old")</f>
        <v>Adult</v>
      </c>
    </row>
    <row r="428" spans="1:15" x14ac:dyDescent="0.25">
      <c r="A428" s="1">
        <v>14770</v>
      </c>
      <c r="B428" s="1" t="s">
        <v>624</v>
      </c>
      <c r="C428" s="1" t="s">
        <v>625</v>
      </c>
      <c r="D428" s="1">
        <v>30</v>
      </c>
      <c r="E428" s="1">
        <v>2</v>
      </c>
      <c r="F428" s="1" t="s">
        <v>953</v>
      </c>
      <c r="G428" s="1" t="s">
        <v>23</v>
      </c>
      <c r="H428" s="1" t="s">
        <v>36</v>
      </c>
      <c r="I428" s="1" t="s">
        <v>18</v>
      </c>
      <c r="J428" s="1">
        <v>16</v>
      </c>
      <c r="K428" s="1" t="s">
        <v>42</v>
      </c>
      <c r="L428" s="3">
        <v>73440</v>
      </c>
      <c r="M428" s="3">
        <v>29376</v>
      </c>
      <c r="N428" s="1" t="s">
        <v>20</v>
      </c>
      <c r="O428" s="5" t="str" cm="1">
        <f t="array" ref="O428">_xlfn.IFS(Table1[[#This Row],[Age]]&lt;25,"Young",Table1[[#This Row],[Age]]&lt;45,"Adult",Table1[[#This Row],[Age]]&gt;=45,"Old")</f>
        <v>Adult</v>
      </c>
    </row>
    <row r="429" spans="1:15" x14ac:dyDescent="0.25">
      <c r="A429" s="1">
        <v>4863</v>
      </c>
      <c r="B429" s="1" t="s">
        <v>626</v>
      </c>
      <c r="C429" s="1" t="s">
        <v>216</v>
      </c>
      <c r="D429" s="1">
        <v>56</v>
      </c>
      <c r="E429" s="1">
        <v>32</v>
      </c>
      <c r="F429" s="1" t="s">
        <v>954</v>
      </c>
      <c r="G429" s="1" t="s">
        <v>35</v>
      </c>
      <c r="H429" s="1" t="s">
        <v>36</v>
      </c>
      <c r="I429" s="1" t="s">
        <v>18</v>
      </c>
      <c r="J429" s="1">
        <v>20</v>
      </c>
      <c r="K429" s="1" t="s">
        <v>19</v>
      </c>
      <c r="L429" s="3">
        <v>115000</v>
      </c>
      <c r="M429" s="3">
        <v>57500</v>
      </c>
      <c r="N429" s="1" t="s">
        <v>20</v>
      </c>
      <c r="O429" s="5" t="str" cm="1">
        <f t="array" ref="O429">_xlfn.IFS(Table1[[#This Row],[Age]]&lt;25,"Young",Table1[[#This Row],[Age]]&lt;45,"Adult",Table1[[#This Row],[Age]]&gt;=45,"Old")</f>
        <v>Old</v>
      </c>
    </row>
    <row r="430" spans="1:15" x14ac:dyDescent="0.25">
      <c r="A430" s="1">
        <v>2057</v>
      </c>
      <c r="B430" s="1" t="s">
        <v>627</v>
      </c>
      <c r="C430" s="1" t="s">
        <v>628</v>
      </c>
      <c r="D430" s="1">
        <v>20</v>
      </c>
      <c r="E430" s="1">
        <v>0</v>
      </c>
      <c r="F430" s="1" t="s">
        <v>954</v>
      </c>
      <c r="G430" s="1" t="s">
        <v>50</v>
      </c>
      <c r="H430" s="1" t="s">
        <v>32</v>
      </c>
      <c r="I430" s="1" t="s">
        <v>18</v>
      </c>
      <c r="J430" s="1">
        <v>20</v>
      </c>
      <c r="K430" s="1" t="s">
        <v>42</v>
      </c>
      <c r="L430" s="3">
        <v>68000</v>
      </c>
      <c r="M430" s="3">
        <v>34000</v>
      </c>
      <c r="N430" s="1" t="s">
        <v>29</v>
      </c>
      <c r="O430" s="5" t="str" cm="1">
        <f t="array" ref="O430">_xlfn.IFS(Table1[[#This Row],[Age]]&lt;25,"Young",Table1[[#This Row],[Age]]&lt;45,"Adult",Table1[[#This Row],[Age]]&gt;=45,"Old")</f>
        <v>Young</v>
      </c>
    </row>
    <row r="431" spans="1:15" x14ac:dyDescent="0.25">
      <c r="A431" s="1">
        <v>10788</v>
      </c>
      <c r="B431" s="1" t="s">
        <v>329</v>
      </c>
      <c r="C431" s="1" t="s">
        <v>629</v>
      </c>
      <c r="D431" s="1">
        <v>33</v>
      </c>
      <c r="E431" s="1">
        <v>0</v>
      </c>
      <c r="F431" s="1" t="s">
        <v>954</v>
      </c>
      <c r="G431" s="1" t="s">
        <v>23</v>
      </c>
      <c r="H431" s="1" t="s">
        <v>24</v>
      </c>
      <c r="I431" s="1" t="s">
        <v>18</v>
      </c>
      <c r="J431" s="1">
        <v>40</v>
      </c>
      <c r="K431" s="1" t="s">
        <v>37</v>
      </c>
      <c r="L431" s="3">
        <v>86215</v>
      </c>
      <c r="M431" s="3">
        <v>86215</v>
      </c>
      <c r="N431" s="1" t="s">
        <v>29</v>
      </c>
      <c r="O431" s="5" t="str" cm="1">
        <f t="array" ref="O431">_xlfn.IFS(Table1[[#This Row],[Age]]&lt;25,"Young",Table1[[#This Row],[Age]]&lt;45,"Adult",Table1[[#This Row],[Age]]&gt;=45,"Old")</f>
        <v>Adult</v>
      </c>
    </row>
    <row r="432" spans="1:15" x14ac:dyDescent="0.25">
      <c r="A432" s="1">
        <v>12635</v>
      </c>
      <c r="B432" s="1" t="s">
        <v>624</v>
      </c>
      <c r="C432" s="1" t="s">
        <v>343</v>
      </c>
      <c r="D432" s="1">
        <v>32</v>
      </c>
      <c r="E432" s="1">
        <v>1</v>
      </c>
      <c r="F432" s="1" t="s">
        <v>953</v>
      </c>
      <c r="G432" s="1" t="s">
        <v>35</v>
      </c>
      <c r="H432" s="1" t="s">
        <v>36</v>
      </c>
      <c r="I432" s="1" t="s">
        <v>18</v>
      </c>
      <c r="J432" s="1">
        <v>16</v>
      </c>
      <c r="K432" s="1" t="s">
        <v>42</v>
      </c>
      <c r="L432" s="3">
        <v>75859</v>
      </c>
      <c r="M432" s="3">
        <v>30343.599999999999</v>
      </c>
      <c r="N432" s="1" t="s">
        <v>29</v>
      </c>
      <c r="O432" s="5" t="str" cm="1">
        <f t="array" ref="O432">_xlfn.IFS(Table1[[#This Row],[Age]]&lt;25,"Young",Table1[[#This Row],[Age]]&lt;45,"Adult",Table1[[#This Row],[Age]]&gt;=45,"Old")</f>
        <v>Adult</v>
      </c>
    </row>
    <row r="433" spans="1:15" x14ac:dyDescent="0.25">
      <c r="A433" s="1">
        <v>1994</v>
      </c>
      <c r="B433" s="1" t="s">
        <v>69</v>
      </c>
      <c r="C433" s="1" t="s">
        <v>360</v>
      </c>
      <c r="D433" s="1">
        <v>20</v>
      </c>
      <c r="E433" s="1">
        <v>2</v>
      </c>
      <c r="F433" s="1" t="s">
        <v>954</v>
      </c>
      <c r="G433" s="1" t="s">
        <v>16</v>
      </c>
      <c r="H433" s="1" t="s">
        <v>17</v>
      </c>
      <c r="I433" s="1" t="s">
        <v>18</v>
      </c>
      <c r="J433" s="1">
        <v>20</v>
      </c>
      <c r="K433" s="1" t="s">
        <v>25</v>
      </c>
      <c r="L433" s="3">
        <v>108538</v>
      </c>
      <c r="M433" s="3">
        <v>54269</v>
      </c>
      <c r="N433" s="1" t="s">
        <v>29</v>
      </c>
      <c r="O433" s="5" t="str" cm="1">
        <f t="array" ref="O433">_xlfn.IFS(Table1[[#This Row],[Age]]&lt;25,"Young",Table1[[#This Row],[Age]]&lt;45,"Adult",Table1[[#This Row],[Age]]&gt;=45,"Old")</f>
        <v>Young</v>
      </c>
    </row>
    <row r="434" spans="1:15" x14ac:dyDescent="0.25">
      <c r="A434" s="1">
        <v>12411</v>
      </c>
      <c r="B434" s="1" t="s">
        <v>363</v>
      </c>
      <c r="C434" s="1" t="s">
        <v>630</v>
      </c>
      <c r="D434" s="1">
        <v>41</v>
      </c>
      <c r="E434" s="1">
        <v>16</v>
      </c>
      <c r="F434" s="1" t="s">
        <v>953</v>
      </c>
      <c r="G434" s="1" t="s">
        <v>16</v>
      </c>
      <c r="H434" s="1" t="s">
        <v>36</v>
      </c>
      <c r="I434" s="1" t="s">
        <v>18</v>
      </c>
      <c r="J434" s="1">
        <v>40</v>
      </c>
      <c r="K434" s="1" t="s">
        <v>42</v>
      </c>
      <c r="L434" s="3">
        <v>85804</v>
      </c>
      <c r="M434" s="3">
        <v>85804</v>
      </c>
      <c r="N434" s="1" t="s">
        <v>20</v>
      </c>
      <c r="O434" s="5" t="str" cm="1">
        <f t="array" ref="O434">_xlfn.IFS(Table1[[#This Row],[Age]]&lt;25,"Young",Table1[[#This Row],[Age]]&lt;45,"Adult",Table1[[#This Row],[Age]]&gt;=45,"Old")</f>
        <v>Adult</v>
      </c>
    </row>
    <row r="435" spans="1:15" x14ac:dyDescent="0.25">
      <c r="A435" s="1">
        <v>7570</v>
      </c>
      <c r="B435" s="1" t="s">
        <v>588</v>
      </c>
      <c r="C435" s="1" t="s">
        <v>631</v>
      </c>
      <c r="D435" s="1">
        <v>56</v>
      </c>
      <c r="E435" s="1">
        <v>27</v>
      </c>
      <c r="F435" s="1" t="s">
        <v>954</v>
      </c>
      <c r="G435" s="1" t="s">
        <v>35</v>
      </c>
      <c r="H435" s="1" t="s">
        <v>36</v>
      </c>
      <c r="I435" s="1" t="s">
        <v>18</v>
      </c>
      <c r="J435" s="1">
        <v>40</v>
      </c>
      <c r="K435" s="1" t="s">
        <v>37</v>
      </c>
      <c r="L435" s="3">
        <v>85000</v>
      </c>
      <c r="M435" s="3">
        <v>85000</v>
      </c>
      <c r="N435" s="1" t="s">
        <v>29</v>
      </c>
      <c r="O435" s="5" t="str" cm="1">
        <f t="array" ref="O435">_xlfn.IFS(Table1[[#This Row],[Age]]&lt;25,"Young",Table1[[#This Row],[Age]]&lt;45,"Adult",Table1[[#This Row],[Age]]&gt;=45,"Old")</f>
        <v>Old</v>
      </c>
    </row>
    <row r="436" spans="1:15" x14ac:dyDescent="0.25">
      <c r="A436" s="1">
        <v>8863</v>
      </c>
      <c r="B436" s="1" t="s">
        <v>632</v>
      </c>
      <c r="C436" s="1" t="s">
        <v>633</v>
      </c>
      <c r="D436" s="1">
        <v>49</v>
      </c>
      <c r="E436" s="1">
        <v>6</v>
      </c>
      <c r="F436" s="1" t="s">
        <v>954</v>
      </c>
      <c r="G436" s="1" t="s">
        <v>23</v>
      </c>
      <c r="H436" s="1" t="s">
        <v>32</v>
      </c>
      <c r="I436" s="1" t="s">
        <v>51</v>
      </c>
      <c r="J436" s="1">
        <v>16</v>
      </c>
      <c r="K436" s="1" t="s">
        <v>42</v>
      </c>
      <c r="L436" s="3">
        <v>68000</v>
      </c>
      <c r="M436" s="3">
        <v>27200</v>
      </c>
      <c r="N436" s="1" t="s">
        <v>20</v>
      </c>
      <c r="O436" s="5" t="str" cm="1">
        <f t="array" ref="O436">_xlfn.IFS(Table1[[#This Row],[Age]]&lt;25,"Young",Table1[[#This Row],[Age]]&lt;45,"Adult",Table1[[#This Row],[Age]]&gt;=45,"Old")</f>
        <v>Old</v>
      </c>
    </row>
    <row r="437" spans="1:15" x14ac:dyDescent="0.25">
      <c r="A437" s="1">
        <v>22541</v>
      </c>
      <c r="B437" s="1" t="s">
        <v>152</v>
      </c>
      <c r="C437" s="1" t="s">
        <v>148</v>
      </c>
      <c r="D437" s="1">
        <v>43</v>
      </c>
      <c r="E437" s="1">
        <v>10</v>
      </c>
      <c r="F437" s="1" t="s">
        <v>954</v>
      </c>
      <c r="G437" s="1" t="s">
        <v>50</v>
      </c>
      <c r="H437" s="1" t="s">
        <v>32</v>
      </c>
      <c r="I437" s="1" t="s">
        <v>18</v>
      </c>
      <c r="J437" s="1">
        <v>40</v>
      </c>
      <c r="K437" s="1" t="s">
        <v>37</v>
      </c>
      <c r="L437" s="3">
        <v>95723</v>
      </c>
      <c r="M437" s="3">
        <v>95723</v>
      </c>
      <c r="N437" s="1" t="s">
        <v>29</v>
      </c>
      <c r="O437" s="5" t="str" cm="1">
        <f t="array" ref="O437">_xlfn.IFS(Table1[[#This Row],[Age]]&lt;25,"Young",Table1[[#This Row],[Age]]&lt;45,"Adult",Table1[[#This Row],[Age]]&gt;=45,"Old")</f>
        <v>Adult</v>
      </c>
    </row>
    <row r="438" spans="1:15" x14ac:dyDescent="0.25">
      <c r="A438" s="1">
        <v>4055</v>
      </c>
      <c r="B438" s="1" t="s">
        <v>106</v>
      </c>
      <c r="C438" s="1" t="s">
        <v>130</v>
      </c>
      <c r="D438" s="1">
        <v>31</v>
      </c>
      <c r="E438" s="1">
        <v>11</v>
      </c>
      <c r="F438" s="1" t="s">
        <v>953</v>
      </c>
      <c r="G438" s="1" t="s">
        <v>45</v>
      </c>
      <c r="H438" s="1" t="s">
        <v>64</v>
      </c>
      <c r="I438" s="1" t="s">
        <v>18</v>
      </c>
      <c r="J438" s="1">
        <v>24</v>
      </c>
      <c r="K438" s="1" t="s">
        <v>25</v>
      </c>
      <c r="L438" s="3">
        <v>111410</v>
      </c>
      <c r="M438" s="3">
        <v>66846</v>
      </c>
      <c r="N438" s="1" t="s">
        <v>29</v>
      </c>
      <c r="O438" s="5" t="str" cm="1">
        <f t="array" ref="O438">_xlfn.IFS(Table1[[#This Row],[Age]]&lt;25,"Young",Table1[[#This Row],[Age]]&lt;45,"Adult",Table1[[#This Row],[Age]]&gt;=45,"Old")</f>
        <v>Adult</v>
      </c>
    </row>
    <row r="439" spans="1:15" x14ac:dyDescent="0.25">
      <c r="A439" s="1">
        <v>12276</v>
      </c>
      <c r="B439" s="1" t="s">
        <v>634</v>
      </c>
      <c r="C439" s="1" t="s">
        <v>246</v>
      </c>
      <c r="D439" s="1">
        <v>46</v>
      </c>
      <c r="E439" s="1">
        <v>22</v>
      </c>
      <c r="F439" s="1" t="s">
        <v>954</v>
      </c>
      <c r="G439" s="1" t="s">
        <v>16</v>
      </c>
      <c r="H439" s="1" t="s">
        <v>36</v>
      </c>
      <c r="I439" s="1" t="s">
        <v>18</v>
      </c>
      <c r="J439" s="1">
        <v>40</v>
      </c>
      <c r="K439" s="1" t="s">
        <v>25</v>
      </c>
      <c r="L439" s="3">
        <v>106352</v>
      </c>
      <c r="M439" s="3">
        <v>106352</v>
      </c>
      <c r="N439" s="1" t="s">
        <v>29</v>
      </c>
      <c r="O439" s="5" t="str" cm="1">
        <f t="array" ref="O439">_xlfn.IFS(Table1[[#This Row],[Age]]&lt;25,"Young",Table1[[#This Row],[Age]]&lt;45,"Adult",Table1[[#This Row],[Age]]&gt;=45,"Old")</f>
        <v>Old</v>
      </c>
    </row>
    <row r="440" spans="1:15" x14ac:dyDescent="0.25">
      <c r="A440" s="1">
        <v>19033</v>
      </c>
      <c r="B440" s="1" t="s">
        <v>635</v>
      </c>
      <c r="C440" s="1" t="s">
        <v>636</v>
      </c>
      <c r="D440" s="1">
        <v>63</v>
      </c>
      <c r="E440" s="1">
        <v>13</v>
      </c>
      <c r="F440" s="1" t="s">
        <v>954</v>
      </c>
      <c r="G440" s="1" t="s">
        <v>35</v>
      </c>
      <c r="H440" s="1" t="s">
        <v>36</v>
      </c>
      <c r="I440" s="1" t="s">
        <v>18</v>
      </c>
      <c r="J440" s="1">
        <v>40</v>
      </c>
      <c r="K440" s="1" t="s">
        <v>37</v>
      </c>
      <c r="L440" s="3">
        <v>85000</v>
      </c>
      <c r="M440" s="3">
        <v>85000</v>
      </c>
      <c r="N440" s="1" t="s">
        <v>29</v>
      </c>
      <c r="O440" s="5" t="str" cm="1">
        <f t="array" ref="O440">_xlfn.IFS(Table1[[#This Row],[Age]]&lt;25,"Young",Table1[[#This Row],[Age]]&lt;45,"Adult",Table1[[#This Row],[Age]]&gt;=45,"Old")</f>
        <v>Old</v>
      </c>
    </row>
    <row r="441" spans="1:15" x14ac:dyDescent="0.25">
      <c r="A441" s="1">
        <v>14003</v>
      </c>
      <c r="B441" s="1" t="s">
        <v>377</v>
      </c>
      <c r="C441" s="1" t="s">
        <v>637</v>
      </c>
      <c r="D441" s="1">
        <v>39</v>
      </c>
      <c r="E441" s="1">
        <v>17</v>
      </c>
      <c r="F441" s="1" t="s">
        <v>953</v>
      </c>
      <c r="G441" s="1" t="s">
        <v>23</v>
      </c>
      <c r="H441" s="1" t="s">
        <v>32</v>
      </c>
      <c r="I441" s="1" t="s">
        <v>18</v>
      </c>
      <c r="J441" s="1">
        <v>16</v>
      </c>
      <c r="K441" s="1" t="s">
        <v>42</v>
      </c>
      <c r="L441" s="3">
        <v>73440</v>
      </c>
      <c r="M441" s="3">
        <v>29376</v>
      </c>
      <c r="N441" s="1" t="s">
        <v>20</v>
      </c>
      <c r="O441" s="5" t="str" cm="1">
        <f t="array" ref="O441">_xlfn.IFS(Table1[[#This Row],[Age]]&lt;25,"Young",Table1[[#This Row],[Age]]&lt;45,"Adult",Table1[[#This Row],[Age]]&gt;=45,"Old")</f>
        <v>Adult</v>
      </c>
    </row>
    <row r="442" spans="1:15" x14ac:dyDescent="0.25">
      <c r="A442" s="1">
        <v>21024</v>
      </c>
      <c r="B442" s="1" t="s">
        <v>289</v>
      </c>
      <c r="C442" s="1" t="s">
        <v>638</v>
      </c>
      <c r="D442" s="1">
        <v>35</v>
      </c>
      <c r="E442" s="1">
        <v>15</v>
      </c>
      <c r="F442" s="1" t="s">
        <v>954</v>
      </c>
      <c r="G442" s="1" t="s">
        <v>45</v>
      </c>
      <c r="H442" s="1" t="s">
        <v>36</v>
      </c>
      <c r="I442" s="1" t="s">
        <v>18</v>
      </c>
      <c r="J442" s="1">
        <v>40</v>
      </c>
      <c r="K442" s="1" t="s">
        <v>37</v>
      </c>
      <c r="L442" s="3">
        <v>85000</v>
      </c>
      <c r="M442" s="3">
        <v>85000</v>
      </c>
      <c r="N442" s="1" t="s">
        <v>29</v>
      </c>
      <c r="O442" s="5" t="str" cm="1">
        <f t="array" ref="O442">_xlfn.IFS(Table1[[#This Row],[Age]]&lt;25,"Young",Table1[[#This Row],[Age]]&lt;45,"Adult",Table1[[#This Row],[Age]]&gt;=45,"Old")</f>
        <v>Adult</v>
      </c>
    </row>
    <row r="443" spans="1:15" x14ac:dyDescent="0.25">
      <c r="A443" s="1">
        <v>5751</v>
      </c>
      <c r="B443" s="1" t="s">
        <v>639</v>
      </c>
      <c r="C443" s="1" t="s">
        <v>640</v>
      </c>
      <c r="D443" s="1">
        <v>42</v>
      </c>
      <c r="E443" s="1">
        <v>21</v>
      </c>
      <c r="F443" s="1" t="s">
        <v>953</v>
      </c>
      <c r="G443" s="1" t="s">
        <v>23</v>
      </c>
      <c r="H443" s="1" t="s">
        <v>17</v>
      </c>
      <c r="I443" s="1" t="s">
        <v>18</v>
      </c>
      <c r="J443" s="1">
        <v>20</v>
      </c>
      <c r="K443" s="1" t="s">
        <v>25</v>
      </c>
      <c r="L443" s="3">
        <v>122000</v>
      </c>
      <c r="M443" s="3">
        <v>61000</v>
      </c>
      <c r="N443" s="1" t="s">
        <v>26</v>
      </c>
      <c r="O443" s="5" t="str" cm="1">
        <f t="array" ref="O443">_xlfn.IFS(Table1[[#This Row],[Age]]&lt;25,"Young",Table1[[#This Row],[Age]]&lt;45,"Adult",Table1[[#This Row],[Age]]&gt;=45,"Old")</f>
        <v>Adult</v>
      </c>
    </row>
    <row r="444" spans="1:15" x14ac:dyDescent="0.25">
      <c r="A444" s="1">
        <v>8444</v>
      </c>
      <c r="B444" s="1" t="s">
        <v>345</v>
      </c>
      <c r="C444" s="1" t="s">
        <v>246</v>
      </c>
      <c r="D444" s="1">
        <v>61</v>
      </c>
      <c r="E444" s="1">
        <v>23</v>
      </c>
      <c r="F444" s="1" t="s">
        <v>953</v>
      </c>
      <c r="G444" s="1" t="s">
        <v>16</v>
      </c>
      <c r="H444" s="1" t="s">
        <v>36</v>
      </c>
      <c r="I444" s="1" t="s">
        <v>51</v>
      </c>
      <c r="J444" s="1">
        <v>32</v>
      </c>
      <c r="K444" s="1" t="s">
        <v>42</v>
      </c>
      <c r="L444" s="3">
        <v>73440</v>
      </c>
      <c r="M444" s="3">
        <v>58752</v>
      </c>
      <c r="N444" s="1" t="s">
        <v>20</v>
      </c>
      <c r="O444" s="5" t="str" cm="1">
        <f t="array" ref="O444">_xlfn.IFS(Table1[[#This Row],[Age]]&lt;25,"Young",Table1[[#This Row],[Age]]&lt;45,"Adult",Table1[[#This Row],[Age]]&gt;=45,"Old")</f>
        <v>Old</v>
      </c>
    </row>
    <row r="445" spans="1:15" x14ac:dyDescent="0.25">
      <c r="A445" s="1">
        <v>6011</v>
      </c>
      <c r="B445" s="1" t="s">
        <v>430</v>
      </c>
      <c r="C445" s="1" t="s">
        <v>419</v>
      </c>
      <c r="D445" s="1">
        <v>55</v>
      </c>
      <c r="E445" s="1">
        <v>15</v>
      </c>
      <c r="F445" s="1" t="s">
        <v>953</v>
      </c>
      <c r="G445" s="1" t="s">
        <v>23</v>
      </c>
      <c r="H445" s="1" t="s">
        <v>24</v>
      </c>
      <c r="I445" s="1" t="s">
        <v>18</v>
      </c>
      <c r="J445" s="1">
        <v>40</v>
      </c>
      <c r="K445" s="1" t="s">
        <v>25</v>
      </c>
      <c r="L445" s="3">
        <v>122000</v>
      </c>
      <c r="M445" s="3">
        <v>122000</v>
      </c>
      <c r="N445" s="1" t="s">
        <v>26</v>
      </c>
      <c r="O445" s="5" t="str" cm="1">
        <f t="array" ref="O445">_xlfn.IFS(Table1[[#This Row],[Age]]&lt;25,"Young",Table1[[#This Row],[Age]]&lt;45,"Adult",Table1[[#This Row],[Age]]&gt;=45,"Old")</f>
        <v>Old</v>
      </c>
    </row>
    <row r="446" spans="1:15" x14ac:dyDescent="0.25">
      <c r="A446" s="1">
        <v>6488</v>
      </c>
      <c r="B446" s="1" t="s">
        <v>641</v>
      </c>
      <c r="C446" s="1" t="s">
        <v>642</v>
      </c>
      <c r="D446" s="1">
        <v>35</v>
      </c>
      <c r="E446" s="1">
        <v>3</v>
      </c>
      <c r="F446" s="1" t="s">
        <v>953</v>
      </c>
      <c r="G446" s="1" t="s">
        <v>50</v>
      </c>
      <c r="H446" s="1" t="s">
        <v>32</v>
      </c>
      <c r="I446" s="1" t="s">
        <v>18</v>
      </c>
      <c r="J446" s="1">
        <v>40</v>
      </c>
      <c r="K446" s="1" t="s">
        <v>37</v>
      </c>
      <c r="L446" s="3">
        <v>107000</v>
      </c>
      <c r="M446" s="3">
        <v>107000</v>
      </c>
      <c r="N446" s="1" t="s">
        <v>26</v>
      </c>
      <c r="O446" s="5" t="str" cm="1">
        <f t="array" ref="O446">_xlfn.IFS(Table1[[#This Row],[Age]]&lt;25,"Young",Table1[[#This Row],[Age]]&lt;45,"Adult",Table1[[#This Row],[Age]]&gt;=45,"Old")</f>
        <v>Adult</v>
      </c>
    </row>
    <row r="447" spans="1:15" x14ac:dyDescent="0.25">
      <c r="A447" s="1">
        <v>14197</v>
      </c>
      <c r="B447" s="1" t="s">
        <v>643</v>
      </c>
      <c r="C447" s="1" t="s">
        <v>644</v>
      </c>
      <c r="D447" s="1">
        <v>59</v>
      </c>
      <c r="E447" s="1">
        <v>18</v>
      </c>
      <c r="F447" s="1" t="s">
        <v>953</v>
      </c>
      <c r="G447" s="1" t="s">
        <v>23</v>
      </c>
      <c r="H447" s="1" t="s">
        <v>32</v>
      </c>
      <c r="I447" s="1" t="s">
        <v>18</v>
      </c>
      <c r="J447" s="1">
        <v>40</v>
      </c>
      <c r="K447" s="1" t="s">
        <v>25</v>
      </c>
      <c r="L447" s="3">
        <v>108637</v>
      </c>
      <c r="M447" s="3">
        <v>108637</v>
      </c>
      <c r="N447" s="1" t="s">
        <v>26</v>
      </c>
      <c r="O447" s="5" t="str" cm="1">
        <f t="array" ref="O447">_xlfn.IFS(Table1[[#This Row],[Age]]&lt;25,"Young",Table1[[#This Row],[Age]]&lt;45,"Adult",Table1[[#This Row],[Age]]&gt;=45,"Old")</f>
        <v>Old</v>
      </c>
    </row>
    <row r="448" spans="1:15" x14ac:dyDescent="0.25">
      <c r="A448" s="1">
        <v>1499</v>
      </c>
      <c r="B448" s="1" t="s">
        <v>645</v>
      </c>
      <c r="C448" s="1" t="s">
        <v>646</v>
      </c>
      <c r="D448" s="1">
        <v>26</v>
      </c>
      <c r="E448" s="1">
        <v>5</v>
      </c>
      <c r="F448" s="1" t="s">
        <v>953</v>
      </c>
      <c r="G448" s="1" t="s">
        <v>45</v>
      </c>
      <c r="H448" s="1" t="s">
        <v>24</v>
      </c>
      <c r="I448" s="1" t="s">
        <v>18</v>
      </c>
      <c r="J448" s="1">
        <v>20</v>
      </c>
      <c r="K448" s="1" t="s">
        <v>25</v>
      </c>
      <c r="L448" s="3">
        <v>120802</v>
      </c>
      <c r="M448" s="3">
        <v>60401</v>
      </c>
      <c r="N448" s="1" t="s">
        <v>26</v>
      </c>
      <c r="O448" s="5" t="str" cm="1">
        <f t="array" ref="O448">_xlfn.IFS(Table1[[#This Row],[Age]]&lt;25,"Young",Table1[[#This Row],[Age]]&lt;45,"Adult",Table1[[#This Row],[Age]]&gt;=45,"Old")</f>
        <v>Adult</v>
      </c>
    </row>
    <row r="449" spans="1:15" x14ac:dyDescent="0.25">
      <c r="A449" s="1">
        <v>6564</v>
      </c>
      <c r="B449" s="1" t="s">
        <v>647</v>
      </c>
      <c r="C449" s="1" t="s">
        <v>648</v>
      </c>
      <c r="D449" s="1">
        <v>23</v>
      </c>
      <c r="E449" s="1">
        <v>2</v>
      </c>
      <c r="F449" s="1" t="s">
        <v>953</v>
      </c>
      <c r="G449" s="1" t="s">
        <v>50</v>
      </c>
      <c r="H449" s="1" t="s">
        <v>32</v>
      </c>
      <c r="I449" s="1" t="s">
        <v>18</v>
      </c>
      <c r="J449" s="1">
        <v>40</v>
      </c>
      <c r="K449" s="1" t="s">
        <v>25</v>
      </c>
      <c r="L449" s="3">
        <v>121179</v>
      </c>
      <c r="M449" s="3">
        <v>121179</v>
      </c>
      <c r="N449" s="1" t="s">
        <v>29</v>
      </c>
      <c r="O449" s="5" t="str" cm="1">
        <f t="array" ref="O449">_xlfn.IFS(Table1[[#This Row],[Age]]&lt;25,"Young",Table1[[#This Row],[Age]]&lt;45,"Adult",Table1[[#This Row],[Age]]&gt;=45,"Old")</f>
        <v>Young</v>
      </c>
    </row>
    <row r="450" spans="1:15" x14ac:dyDescent="0.25">
      <c r="A450" s="1">
        <v>11572</v>
      </c>
      <c r="B450" s="1" t="s">
        <v>527</v>
      </c>
      <c r="C450" s="1" t="s">
        <v>649</v>
      </c>
      <c r="D450" s="1">
        <v>28</v>
      </c>
      <c r="E450" s="1">
        <v>7</v>
      </c>
      <c r="F450" s="1" t="s">
        <v>953</v>
      </c>
      <c r="G450" s="1" t="s">
        <v>50</v>
      </c>
      <c r="H450" s="1" t="s">
        <v>24</v>
      </c>
      <c r="I450" s="1" t="s">
        <v>18</v>
      </c>
      <c r="J450" s="1">
        <v>20</v>
      </c>
      <c r="K450" s="1" t="s">
        <v>37</v>
      </c>
      <c r="L450" s="3">
        <v>91800</v>
      </c>
      <c r="M450" s="3">
        <v>45900</v>
      </c>
      <c r="N450" s="1" t="s">
        <v>20</v>
      </c>
      <c r="O450" s="5" t="str" cm="1">
        <f t="array" ref="O450">_xlfn.IFS(Table1[[#This Row],[Age]]&lt;25,"Young",Table1[[#This Row],[Age]]&lt;45,"Adult",Table1[[#This Row],[Age]]&gt;=45,"Old")</f>
        <v>Adult</v>
      </c>
    </row>
    <row r="451" spans="1:15" x14ac:dyDescent="0.25">
      <c r="A451" s="1">
        <v>14178</v>
      </c>
      <c r="B451" s="1" t="s">
        <v>162</v>
      </c>
      <c r="C451" s="1" t="s">
        <v>70</v>
      </c>
      <c r="D451" s="1">
        <v>41</v>
      </c>
      <c r="E451" s="1">
        <v>23</v>
      </c>
      <c r="F451" s="1" t="s">
        <v>953</v>
      </c>
      <c r="G451" s="1" t="s">
        <v>35</v>
      </c>
      <c r="H451" s="1" t="s">
        <v>64</v>
      </c>
      <c r="I451" s="1" t="s">
        <v>51</v>
      </c>
      <c r="J451" s="1">
        <v>16</v>
      </c>
      <c r="K451" s="1" t="s">
        <v>52</v>
      </c>
      <c r="L451" s="3">
        <v>140400</v>
      </c>
      <c r="M451" s="3">
        <v>56160</v>
      </c>
      <c r="N451" s="1" t="s">
        <v>29</v>
      </c>
      <c r="O451" s="5" t="str" cm="1">
        <f t="array" ref="O451">_xlfn.IFS(Table1[[#This Row],[Age]]&lt;25,"Young",Table1[[#This Row],[Age]]&lt;45,"Adult",Table1[[#This Row],[Age]]&gt;=45,"Old")</f>
        <v>Adult</v>
      </c>
    </row>
    <row r="452" spans="1:15" x14ac:dyDescent="0.25">
      <c r="A452" s="1">
        <v>22638</v>
      </c>
      <c r="B452" s="1" t="s">
        <v>182</v>
      </c>
      <c r="C452" s="1" t="s">
        <v>650</v>
      </c>
      <c r="D452" s="1">
        <v>34</v>
      </c>
      <c r="E452" s="1">
        <v>3</v>
      </c>
      <c r="F452" s="1" t="s">
        <v>953</v>
      </c>
      <c r="G452" s="1" t="s">
        <v>35</v>
      </c>
      <c r="H452" s="1" t="s">
        <v>36</v>
      </c>
      <c r="I452" s="1" t="s">
        <v>18</v>
      </c>
      <c r="J452" s="1">
        <v>40</v>
      </c>
      <c r="K452" s="1" t="s">
        <v>37</v>
      </c>
      <c r="L452" s="3">
        <v>104097</v>
      </c>
      <c r="M452" s="3">
        <v>104097</v>
      </c>
      <c r="N452" s="1" t="s">
        <v>26</v>
      </c>
      <c r="O452" s="5" t="str" cm="1">
        <f t="array" ref="O452">_xlfn.IFS(Table1[[#This Row],[Age]]&lt;25,"Young",Table1[[#This Row],[Age]]&lt;45,"Adult",Table1[[#This Row],[Age]]&gt;=45,"Old")</f>
        <v>Adult</v>
      </c>
    </row>
    <row r="453" spans="1:15" x14ac:dyDescent="0.25">
      <c r="A453" s="1">
        <v>8818</v>
      </c>
      <c r="B453" s="1" t="s">
        <v>385</v>
      </c>
      <c r="C453" s="1" t="s">
        <v>571</v>
      </c>
      <c r="D453" s="1">
        <v>54</v>
      </c>
      <c r="E453" s="1">
        <v>24</v>
      </c>
      <c r="F453" s="1" t="s">
        <v>953</v>
      </c>
      <c r="G453" s="1" t="s">
        <v>45</v>
      </c>
      <c r="H453" s="1" t="s">
        <v>17</v>
      </c>
      <c r="I453" s="1" t="s">
        <v>51</v>
      </c>
      <c r="J453" s="1">
        <v>20</v>
      </c>
      <c r="K453" s="1" t="s">
        <v>52</v>
      </c>
      <c r="L453" s="3">
        <v>140450</v>
      </c>
      <c r="M453" s="3">
        <v>70225</v>
      </c>
      <c r="N453" s="1" t="s">
        <v>29</v>
      </c>
      <c r="O453" s="5" t="str" cm="1">
        <f t="array" ref="O453">_xlfn.IFS(Table1[[#This Row],[Age]]&lt;25,"Young",Table1[[#This Row],[Age]]&lt;45,"Adult",Table1[[#This Row],[Age]]&gt;=45,"Old")</f>
        <v>Old</v>
      </c>
    </row>
    <row r="454" spans="1:15" x14ac:dyDescent="0.25">
      <c r="A454" s="1">
        <v>9429</v>
      </c>
      <c r="B454" s="1" t="s">
        <v>574</v>
      </c>
      <c r="C454" s="1" t="s">
        <v>553</v>
      </c>
      <c r="D454" s="1">
        <v>62</v>
      </c>
      <c r="E454" s="1">
        <v>39</v>
      </c>
      <c r="F454" s="1" t="s">
        <v>954</v>
      </c>
      <c r="G454" s="1" t="s">
        <v>50</v>
      </c>
      <c r="H454" s="1" t="s">
        <v>17</v>
      </c>
      <c r="I454" s="1" t="s">
        <v>51</v>
      </c>
      <c r="J454" s="1">
        <v>16</v>
      </c>
      <c r="K454" s="1" t="s">
        <v>37</v>
      </c>
      <c r="L454" s="3">
        <v>85000</v>
      </c>
      <c r="M454" s="3">
        <v>34000</v>
      </c>
      <c r="N454" s="1" t="s">
        <v>20</v>
      </c>
      <c r="O454" s="5" t="str" cm="1">
        <f t="array" ref="O454">_xlfn.IFS(Table1[[#This Row],[Age]]&lt;25,"Young",Table1[[#This Row],[Age]]&lt;45,"Adult",Table1[[#This Row],[Age]]&gt;=45,"Old")</f>
        <v>Old</v>
      </c>
    </row>
    <row r="455" spans="1:15" x14ac:dyDescent="0.25">
      <c r="A455" s="1">
        <v>5903</v>
      </c>
      <c r="B455" s="1" t="s">
        <v>55</v>
      </c>
      <c r="C455" s="1" t="s">
        <v>651</v>
      </c>
      <c r="D455" s="1">
        <v>32</v>
      </c>
      <c r="E455" s="1">
        <v>4</v>
      </c>
      <c r="F455" s="1" t="s">
        <v>954</v>
      </c>
      <c r="G455" s="1" t="s">
        <v>50</v>
      </c>
      <c r="H455" s="1" t="s">
        <v>36</v>
      </c>
      <c r="I455" s="1" t="s">
        <v>18</v>
      </c>
      <c r="J455" s="1">
        <v>20</v>
      </c>
      <c r="K455" s="1" t="s">
        <v>25</v>
      </c>
      <c r="L455" s="3">
        <v>98000</v>
      </c>
      <c r="M455" s="3">
        <v>49000</v>
      </c>
      <c r="N455" s="1" t="s">
        <v>20</v>
      </c>
      <c r="O455" s="5" t="str" cm="1">
        <f t="array" ref="O455">_xlfn.IFS(Table1[[#This Row],[Age]]&lt;25,"Young",Table1[[#This Row],[Age]]&lt;45,"Adult",Table1[[#This Row],[Age]]&gt;=45,"Old")</f>
        <v>Adult</v>
      </c>
    </row>
    <row r="456" spans="1:15" x14ac:dyDescent="0.25">
      <c r="A456" s="1">
        <v>4229</v>
      </c>
      <c r="B456" s="1" t="s">
        <v>135</v>
      </c>
      <c r="C456" s="1" t="s">
        <v>280</v>
      </c>
      <c r="D456" s="1">
        <v>49</v>
      </c>
      <c r="E456" s="1">
        <v>12</v>
      </c>
      <c r="F456" s="1" t="s">
        <v>954</v>
      </c>
      <c r="G456" s="1" t="s">
        <v>45</v>
      </c>
      <c r="H456" s="1" t="s">
        <v>119</v>
      </c>
      <c r="I456" s="1" t="s">
        <v>51</v>
      </c>
      <c r="J456" s="1">
        <v>32</v>
      </c>
      <c r="K456" s="1" t="s">
        <v>52</v>
      </c>
      <c r="L456" s="3">
        <v>130000</v>
      </c>
      <c r="M456" s="3">
        <v>104000</v>
      </c>
      <c r="N456" s="1" t="s">
        <v>20</v>
      </c>
      <c r="O456" s="5" t="str" cm="1">
        <f t="array" ref="O456">_xlfn.IFS(Table1[[#This Row],[Age]]&lt;25,"Young",Table1[[#This Row],[Age]]&lt;45,"Adult",Table1[[#This Row],[Age]]&gt;=45,"Old")</f>
        <v>Old</v>
      </c>
    </row>
    <row r="457" spans="1:15" x14ac:dyDescent="0.25">
      <c r="A457" s="1">
        <v>13222</v>
      </c>
      <c r="B457" s="1" t="s">
        <v>254</v>
      </c>
      <c r="C457" s="1" t="s">
        <v>652</v>
      </c>
      <c r="D457" s="1">
        <v>53</v>
      </c>
      <c r="E457" s="1">
        <v>26</v>
      </c>
      <c r="F457" s="1" t="s">
        <v>954</v>
      </c>
      <c r="G457" s="1" t="s">
        <v>35</v>
      </c>
      <c r="H457" s="1" t="s">
        <v>32</v>
      </c>
      <c r="I457" s="1" t="s">
        <v>51</v>
      </c>
      <c r="J457" s="1">
        <v>32</v>
      </c>
      <c r="K457" s="1" t="s">
        <v>42</v>
      </c>
      <c r="L457" s="3">
        <v>68000</v>
      </c>
      <c r="M457" s="3">
        <v>54400</v>
      </c>
      <c r="N457" s="1" t="s">
        <v>20</v>
      </c>
      <c r="O457" s="5" t="str" cm="1">
        <f t="array" ref="O457">_xlfn.IFS(Table1[[#This Row],[Age]]&lt;25,"Young",Table1[[#This Row],[Age]]&lt;45,"Adult",Table1[[#This Row],[Age]]&gt;=45,"Old")</f>
        <v>Old</v>
      </c>
    </row>
    <row r="458" spans="1:15" x14ac:dyDescent="0.25">
      <c r="A458" s="1">
        <v>1955</v>
      </c>
      <c r="B458" s="1" t="s">
        <v>653</v>
      </c>
      <c r="C458" s="1" t="s">
        <v>360</v>
      </c>
      <c r="D458" s="1">
        <v>42</v>
      </c>
      <c r="E458" s="1">
        <v>6</v>
      </c>
      <c r="F458" s="1" t="s">
        <v>954</v>
      </c>
      <c r="G458" s="1" t="s">
        <v>35</v>
      </c>
      <c r="H458" s="1" t="s">
        <v>192</v>
      </c>
      <c r="I458" s="1" t="s">
        <v>18</v>
      </c>
      <c r="J458" s="1">
        <v>20</v>
      </c>
      <c r="K458" s="1" t="s">
        <v>19</v>
      </c>
      <c r="L458" s="3">
        <v>115000</v>
      </c>
      <c r="M458" s="3">
        <v>57500</v>
      </c>
      <c r="N458" s="1" t="s">
        <v>20</v>
      </c>
      <c r="O458" s="5" t="str" cm="1">
        <f t="array" ref="O458">_xlfn.IFS(Table1[[#This Row],[Age]]&lt;25,"Young",Table1[[#This Row],[Age]]&lt;45,"Adult",Table1[[#This Row],[Age]]&gt;=45,"Old")</f>
        <v>Adult</v>
      </c>
    </row>
    <row r="459" spans="1:15" x14ac:dyDescent="0.25">
      <c r="A459" s="1">
        <v>16110</v>
      </c>
      <c r="B459" s="1" t="s">
        <v>108</v>
      </c>
      <c r="C459" s="1" t="s">
        <v>246</v>
      </c>
      <c r="D459" s="1">
        <v>46</v>
      </c>
      <c r="E459" s="1">
        <v>4</v>
      </c>
      <c r="F459" s="1" t="s">
        <v>954</v>
      </c>
      <c r="G459" s="1" t="s">
        <v>23</v>
      </c>
      <c r="H459" s="1" t="s">
        <v>24</v>
      </c>
      <c r="I459" s="1" t="s">
        <v>18</v>
      </c>
      <c r="J459" s="1">
        <v>16</v>
      </c>
      <c r="K459" s="1" t="s">
        <v>25</v>
      </c>
      <c r="L459" s="3">
        <v>98000</v>
      </c>
      <c r="M459" s="3">
        <v>39200</v>
      </c>
      <c r="N459" s="1" t="s">
        <v>29</v>
      </c>
      <c r="O459" s="5" t="str" cm="1">
        <f t="array" ref="O459">_xlfn.IFS(Table1[[#This Row],[Age]]&lt;25,"Young",Table1[[#This Row],[Age]]&lt;45,"Adult",Table1[[#This Row],[Age]]&gt;=45,"Old")</f>
        <v>Old</v>
      </c>
    </row>
    <row r="460" spans="1:15" x14ac:dyDescent="0.25">
      <c r="A460" s="1">
        <v>7975</v>
      </c>
      <c r="B460" s="1" t="s">
        <v>241</v>
      </c>
      <c r="C460" s="1" t="s">
        <v>654</v>
      </c>
      <c r="D460" s="1">
        <v>40</v>
      </c>
      <c r="E460" s="1">
        <v>7</v>
      </c>
      <c r="F460" s="1" t="s">
        <v>954</v>
      </c>
      <c r="G460" s="1" t="s">
        <v>50</v>
      </c>
      <c r="H460" s="1" t="s">
        <v>192</v>
      </c>
      <c r="I460" s="1" t="s">
        <v>51</v>
      </c>
      <c r="J460" s="1">
        <v>32</v>
      </c>
      <c r="K460" s="1" t="s">
        <v>25</v>
      </c>
      <c r="L460" s="3">
        <v>98000</v>
      </c>
      <c r="M460" s="3">
        <v>78400</v>
      </c>
      <c r="N460" s="1" t="s">
        <v>29</v>
      </c>
      <c r="O460" s="5" t="str" cm="1">
        <f t="array" ref="O460">_xlfn.IFS(Table1[[#This Row],[Age]]&lt;25,"Young",Table1[[#This Row],[Age]]&lt;45,"Adult",Table1[[#This Row],[Age]]&gt;=45,"Old")</f>
        <v>Adult</v>
      </c>
    </row>
    <row r="461" spans="1:15" x14ac:dyDescent="0.25">
      <c r="A461" s="1">
        <v>7226</v>
      </c>
      <c r="B461" s="1" t="s">
        <v>487</v>
      </c>
      <c r="C461" s="1" t="s">
        <v>240</v>
      </c>
      <c r="D461" s="1">
        <v>35</v>
      </c>
      <c r="E461" s="1">
        <v>0</v>
      </c>
      <c r="F461" s="1" t="s">
        <v>953</v>
      </c>
      <c r="G461" s="1" t="s">
        <v>23</v>
      </c>
      <c r="H461" s="1" t="s">
        <v>36</v>
      </c>
      <c r="I461" s="1" t="s">
        <v>18</v>
      </c>
      <c r="J461" s="1">
        <v>32</v>
      </c>
      <c r="K461" s="1" t="s">
        <v>42</v>
      </c>
      <c r="L461" s="3">
        <v>81754</v>
      </c>
      <c r="M461" s="3">
        <v>65403.199999999997</v>
      </c>
      <c r="N461" s="1" t="s">
        <v>26</v>
      </c>
      <c r="O461" s="5" t="str" cm="1">
        <f t="array" ref="O461">_xlfn.IFS(Table1[[#This Row],[Age]]&lt;25,"Young",Table1[[#This Row],[Age]]&lt;45,"Adult",Table1[[#This Row],[Age]]&gt;=45,"Old")</f>
        <v>Adult</v>
      </c>
    </row>
    <row r="462" spans="1:15" x14ac:dyDescent="0.25">
      <c r="A462" s="1">
        <v>15770</v>
      </c>
      <c r="B462" s="1" t="s">
        <v>655</v>
      </c>
      <c r="C462" s="1" t="s">
        <v>70</v>
      </c>
      <c r="D462" s="1">
        <v>41</v>
      </c>
      <c r="E462" s="1">
        <v>23</v>
      </c>
      <c r="F462" s="1" t="s">
        <v>953</v>
      </c>
      <c r="G462" s="1" t="s">
        <v>50</v>
      </c>
      <c r="H462" s="1" t="s">
        <v>32</v>
      </c>
      <c r="I462" s="1" t="s">
        <v>18</v>
      </c>
      <c r="J462" s="1">
        <v>20</v>
      </c>
      <c r="K462" s="1" t="s">
        <v>42</v>
      </c>
      <c r="L462" s="3">
        <v>82929</v>
      </c>
      <c r="M462" s="3">
        <v>41464.5</v>
      </c>
      <c r="N462" s="1" t="s">
        <v>29</v>
      </c>
      <c r="O462" s="5" t="str" cm="1">
        <f t="array" ref="O462">_xlfn.IFS(Table1[[#This Row],[Age]]&lt;25,"Young",Table1[[#This Row],[Age]]&lt;45,"Adult",Table1[[#This Row],[Age]]&gt;=45,"Old")</f>
        <v>Adult</v>
      </c>
    </row>
    <row r="463" spans="1:15" x14ac:dyDescent="0.25">
      <c r="A463" s="1">
        <v>12144</v>
      </c>
      <c r="B463" s="1" t="s">
        <v>193</v>
      </c>
      <c r="C463" s="1" t="s">
        <v>656</v>
      </c>
      <c r="D463" s="1">
        <v>52</v>
      </c>
      <c r="E463" s="1">
        <v>1</v>
      </c>
      <c r="F463" s="1" t="s">
        <v>953</v>
      </c>
      <c r="G463" s="1" t="s">
        <v>16</v>
      </c>
      <c r="H463" s="1" t="s">
        <v>36</v>
      </c>
      <c r="I463" s="1" t="s">
        <v>18</v>
      </c>
      <c r="J463" s="1">
        <v>40</v>
      </c>
      <c r="K463" s="1" t="s">
        <v>42</v>
      </c>
      <c r="L463" s="3">
        <v>87000</v>
      </c>
      <c r="M463" s="3">
        <v>87000</v>
      </c>
      <c r="N463" s="1" t="s">
        <v>26</v>
      </c>
      <c r="O463" s="5" t="str" cm="1">
        <f t="array" ref="O463">_xlfn.IFS(Table1[[#This Row],[Age]]&lt;25,"Young",Table1[[#This Row],[Age]]&lt;45,"Adult",Table1[[#This Row],[Age]]&gt;=45,"Old")</f>
        <v>Old</v>
      </c>
    </row>
    <row r="464" spans="1:15" x14ac:dyDescent="0.25">
      <c r="A464" s="1">
        <v>10687</v>
      </c>
      <c r="B464" s="1" t="s">
        <v>314</v>
      </c>
      <c r="C464" s="1" t="s">
        <v>202</v>
      </c>
      <c r="D464" s="1">
        <v>44</v>
      </c>
      <c r="E464" s="1">
        <v>15</v>
      </c>
      <c r="F464" s="1" t="s">
        <v>954</v>
      </c>
      <c r="G464" s="1" t="s">
        <v>50</v>
      </c>
      <c r="H464" s="1" t="s">
        <v>32</v>
      </c>
      <c r="I464" s="1" t="s">
        <v>51</v>
      </c>
      <c r="J464" s="1">
        <v>16</v>
      </c>
      <c r="K464" s="1" t="s">
        <v>42</v>
      </c>
      <c r="L464" s="3">
        <v>68000</v>
      </c>
      <c r="M464" s="3">
        <v>27200</v>
      </c>
      <c r="N464" s="1" t="s">
        <v>29</v>
      </c>
      <c r="O464" s="5" t="str" cm="1">
        <f t="array" ref="O464">_xlfn.IFS(Table1[[#This Row],[Age]]&lt;25,"Young",Table1[[#This Row],[Age]]&lt;45,"Adult",Table1[[#This Row],[Age]]&gt;=45,"Old")</f>
        <v>Adult</v>
      </c>
    </row>
    <row r="465" spans="1:15" x14ac:dyDescent="0.25">
      <c r="A465" s="1">
        <v>8144</v>
      </c>
      <c r="B465" s="1" t="s">
        <v>657</v>
      </c>
      <c r="C465" s="1" t="s">
        <v>658</v>
      </c>
      <c r="D465" s="1">
        <v>45</v>
      </c>
      <c r="E465" s="1">
        <v>20</v>
      </c>
      <c r="F465" s="1" t="s">
        <v>953</v>
      </c>
      <c r="G465" s="1" t="s">
        <v>50</v>
      </c>
      <c r="H465" s="1" t="s">
        <v>24</v>
      </c>
      <c r="I465" s="1" t="s">
        <v>51</v>
      </c>
      <c r="J465" s="1">
        <v>20</v>
      </c>
      <c r="K465" s="1" t="s">
        <v>19</v>
      </c>
      <c r="L465" s="3">
        <v>124200</v>
      </c>
      <c r="M465" s="3">
        <v>62100</v>
      </c>
      <c r="N465" s="1" t="s">
        <v>26</v>
      </c>
      <c r="O465" s="5" t="str" cm="1">
        <f t="array" ref="O465">_xlfn.IFS(Table1[[#This Row],[Age]]&lt;25,"Young",Table1[[#This Row],[Age]]&lt;45,"Adult",Table1[[#This Row],[Age]]&gt;=45,"Old")</f>
        <v>Old</v>
      </c>
    </row>
    <row r="466" spans="1:15" x14ac:dyDescent="0.25">
      <c r="A466" s="1">
        <v>7991</v>
      </c>
      <c r="B466" s="1" t="s">
        <v>106</v>
      </c>
      <c r="C466" s="1" t="s">
        <v>659</v>
      </c>
      <c r="D466" s="1">
        <v>55</v>
      </c>
      <c r="E466" s="1">
        <v>36</v>
      </c>
      <c r="F466" s="1" t="s">
        <v>953</v>
      </c>
      <c r="G466" s="1" t="s">
        <v>50</v>
      </c>
      <c r="H466" s="1" t="s">
        <v>36</v>
      </c>
      <c r="I466" s="1" t="s">
        <v>18</v>
      </c>
      <c r="J466" s="1">
        <v>40</v>
      </c>
      <c r="K466" s="1" t="s">
        <v>37</v>
      </c>
      <c r="L466" s="3">
        <v>93950</v>
      </c>
      <c r="M466" s="3">
        <v>93950</v>
      </c>
      <c r="N466" s="1" t="s">
        <v>29</v>
      </c>
      <c r="O466" s="5" t="str" cm="1">
        <f t="array" ref="O466">_xlfn.IFS(Table1[[#This Row],[Age]]&lt;25,"Young",Table1[[#This Row],[Age]]&lt;45,"Adult",Table1[[#This Row],[Age]]&gt;=45,"Old")</f>
        <v>Old</v>
      </c>
    </row>
    <row r="467" spans="1:15" x14ac:dyDescent="0.25">
      <c r="A467" s="1">
        <v>1462</v>
      </c>
      <c r="B467" s="1" t="s">
        <v>660</v>
      </c>
      <c r="C467" s="1" t="s">
        <v>661</v>
      </c>
      <c r="D467" s="1">
        <v>32</v>
      </c>
      <c r="E467" s="1">
        <v>10</v>
      </c>
      <c r="F467" s="1" t="s">
        <v>953</v>
      </c>
      <c r="G467" s="1" t="s">
        <v>16</v>
      </c>
      <c r="H467" s="1" t="s">
        <v>36</v>
      </c>
      <c r="I467" s="1" t="s">
        <v>18</v>
      </c>
      <c r="J467" s="1">
        <v>24</v>
      </c>
      <c r="K467" s="1" t="s">
        <v>42</v>
      </c>
      <c r="L467" s="3">
        <v>73440</v>
      </c>
      <c r="M467" s="3">
        <v>44064</v>
      </c>
      <c r="N467" s="1" t="s">
        <v>29</v>
      </c>
      <c r="O467" s="5" t="str" cm="1">
        <f t="array" ref="O467">_xlfn.IFS(Table1[[#This Row],[Age]]&lt;25,"Young",Table1[[#This Row],[Age]]&lt;45,"Adult",Table1[[#This Row],[Age]]&gt;=45,"Old")</f>
        <v>Adult</v>
      </c>
    </row>
    <row r="468" spans="1:15" x14ac:dyDescent="0.25">
      <c r="A468" s="1">
        <v>22314</v>
      </c>
      <c r="B468" s="1" t="s">
        <v>369</v>
      </c>
      <c r="C468" s="1" t="s">
        <v>662</v>
      </c>
      <c r="D468" s="1">
        <v>48</v>
      </c>
      <c r="E468" s="1">
        <v>21</v>
      </c>
      <c r="F468" s="1" t="s">
        <v>953</v>
      </c>
      <c r="G468" s="1" t="s">
        <v>23</v>
      </c>
      <c r="H468" s="1" t="s">
        <v>24</v>
      </c>
      <c r="I468" s="1" t="s">
        <v>18</v>
      </c>
      <c r="J468" s="1">
        <v>40</v>
      </c>
      <c r="K468" s="1" t="s">
        <v>25</v>
      </c>
      <c r="L468" s="3">
        <v>122000</v>
      </c>
      <c r="M468" s="3">
        <v>122000</v>
      </c>
      <c r="N468" s="1" t="s">
        <v>26</v>
      </c>
      <c r="O468" s="5" t="str" cm="1">
        <f t="array" ref="O468">_xlfn.IFS(Table1[[#This Row],[Age]]&lt;25,"Young",Table1[[#This Row],[Age]]&lt;45,"Adult",Table1[[#This Row],[Age]]&gt;=45,"Old")</f>
        <v>Old</v>
      </c>
    </row>
    <row r="469" spans="1:15" x14ac:dyDescent="0.25">
      <c r="A469" s="1">
        <v>7015</v>
      </c>
      <c r="B469" s="1" t="s">
        <v>554</v>
      </c>
      <c r="C469" s="1" t="s">
        <v>145</v>
      </c>
      <c r="D469" s="1">
        <v>34</v>
      </c>
      <c r="E469" s="1">
        <v>15</v>
      </c>
      <c r="F469" s="1" t="s">
        <v>954</v>
      </c>
      <c r="G469" s="1" t="s">
        <v>50</v>
      </c>
      <c r="H469" s="1" t="s">
        <v>36</v>
      </c>
      <c r="I469" s="1" t="s">
        <v>51</v>
      </c>
      <c r="J469" s="1">
        <v>32</v>
      </c>
      <c r="K469" s="1" t="s">
        <v>42</v>
      </c>
      <c r="L469" s="3">
        <v>68527</v>
      </c>
      <c r="M469" s="3">
        <v>54821.599999999999</v>
      </c>
      <c r="N469" s="1" t="s">
        <v>20</v>
      </c>
      <c r="O469" s="5" t="str" cm="1">
        <f t="array" ref="O469">_xlfn.IFS(Table1[[#This Row],[Age]]&lt;25,"Young",Table1[[#This Row],[Age]]&lt;45,"Adult",Table1[[#This Row],[Age]]&gt;=45,"Old")</f>
        <v>Adult</v>
      </c>
    </row>
    <row r="470" spans="1:15" x14ac:dyDescent="0.25">
      <c r="A470" s="1">
        <v>13743</v>
      </c>
      <c r="B470" s="1" t="s">
        <v>187</v>
      </c>
      <c r="C470" s="1" t="s">
        <v>118</v>
      </c>
      <c r="D470" s="1">
        <v>28</v>
      </c>
      <c r="E470" s="1">
        <v>8</v>
      </c>
      <c r="F470" s="1" t="s">
        <v>954</v>
      </c>
      <c r="G470" s="1" t="s">
        <v>50</v>
      </c>
      <c r="H470" s="1" t="s">
        <v>24</v>
      </c>
      <c r="I470" s="1" t="s">
        <v>18</v>
      </c>
      <c r="J470" s="1">
        <v>20</v>
      </c>
      <c r="K470" s="1" t="s">
        <v>25</v>
      </c>
      <c r="L470" s="3">
        <v>100990</v>
      </c>
      <c r="M470" s="3">
        <v>50495</v>
      </c>
      <c r="N470" s="1" t="s">
        <v>26</v>
      </c>
      <c r="O470" s="5" t="str" cm="1">
        <f t="array" ref="O470">_xlfn.IFS(Table1[[#This Row],[Age]]&lt;25,"Young",Table1[[#This Row],[Age]]&lt;45,"Adult",Table1[[#This Row],[Age]]&gt;=45,"Old")</f>
        <v>Adult</v>
      </c>
    </row>
    <row r="471" spans="1:15" x14ac:dyDescent="0.25">
      <c r="A471" s="1">
        <v>11443</v>
      </c>
      <c r="B471" s="1" t="s">
        <v>663</v>
      </c>
      <c r="C471" s="1" t="s">
        <v>405</v>
      </c>
      <c r="D471" s="1">
        <v>32</v>
      </c>
      <c r="E471" s="1">
        <v>4</v>
      </c>
      <c r="F471" s="1" t="s">
        <v>953</v>
      </c>
      <c r="G471" s="1" t="s">
        <v>45</v>
      </c>
      <c r="H471" s="1" t="s">
        <v>17</v>
      </c>
      <c r="I471" s="1" t="s">
        <v>18</v>
      </c>
      <c r="J471" s="1">
        <v>16</v>
      </c>
      <c r="K471" s="1" t="s">
        <v>37</v>
      </c>
      <c r="L471" s="3">
        <v>92909</v>
      </c>
      <c r="M471" s="3">
        <v>37163.599999999999</v>
      </c>
      <c r="N471" s="1" t="s">
        <v>20</v>
      </c>
      <c r="O471" s="5" t="str" cm="1">
        <f t="array" ref="O471">_xlfn.IFS(Table1[[#This Row],[Age]]&lt;25,"Young",Table1[[#This Row],[Age]]&lt;45,"Adult",Table1[[#This Row],[Age]]&gt;=45,"Old")</f>
        <v>Adult</v>
      </c>
    </row>
    <row r="472" spans="1:15" x14ac:dyDescent="0.25">
      <c r="A472" s="1">
        <v>9816</v>
      </c>
      <c r="B472" s="1" t="s">
        <v>256</v>
      </c>
      <c r="C472" s="1" t="s">
        <v>342</v>
      </c>
      <c r="D472" s="1">
        <v>31</v>
      </c>
      <c r="E472" s="1">
        <v>1</v>
      </c>
      <c r="F472" s="1" t="s">
        <v>954</v>
      </c>
      <c r="G472" s="1" t="s">
        <v>50</v>
      </c>
      <c r="H472" s="1" t="s">
        <v>24</v>
      </c>
      <c r="I472" s="1" t="s">
        <v>18</v>
      </c>
      <c r="J472" s="1">
        <v>40</v>
      </c>
      <c r="K472" s="1" t="s">
        <v>25</v>
      </c>
      <c r="L472" s="3">
        <v>99701</v>
      </c>
      <c r="M472" s="3">
        <v>99701</v>
      </c>
      <c r="N472" s="1" t="s">
        <v>26</v>
      </c>
      <c r="O472" s="5" t="str" cm="1">
        <f t="array" ref="O472">_xlfn.IFS(Table1[[#This Row],[Age]]&lt;25,"Young",Table1[[#This Row],[Age]]&lt;45,"Adult",Table1[[#This Row],[Age]]&gt;=45,"Old")</f>
        <v>Adult</v>
      </c>
    </row>
    <row r="473" spans="1:15" x14ac:dyDescent="0.25">
      <c r="A473" s="1">
        <v>2961</v>
      </c>
      <c r="B473" s="1" t="s">
        <v>579</v>
      </c>
      <c r="C473" s="1" t="s">
        <v>664</v>
      </c>
      <c r="D473" s="1">
        <v>41</v>
      </c>
      <c r="E473" s="1">
        <v>21</v>
      </c>
      <c r="F473" s="1" t="s">
        <v>953</v>
      </c>
      <c r="G473" s="1" t="s">
        <v>23</v>
      </c>
      <c r="H473" s="1" t="s">
        <v>32</v>
      </c>
      <c r="I473" s="1" t="s">
        <v>51</v>
      </c>
      <c r="J473" s="1">
        <v>24</v>
      </c>
      <c r="K473" s="1" t="s">
        <v>42</v>
      </c>
      <c r="L473" s="3">
        <v>78800</v>
      </c>
      <c r="M473" s="3">
        <v>47280</v>
      </c>
      <c r="N473" s="1" t="s">
        <v>29</v>
      </c>
      <c r="O473" s="5" t="str" cm="1">
        <f t="array" ref="O473">_xlfn.IFS(Table1[[#This Row],[Age]]&lt;25,"Young",Table1[[#This Row],[Age]]&lt;45,"Adult",Table1[[#This Row],[Age]]&gt;=45,"Old")</f>
        <v>Adult</v>
      </c>
    </row>
    <row r="474" spans="1:15" x14ac:dyDescent="0.25">
      <c r="A474" s="1">
        <v>9833</v>
      </c>
      <c r="B474" s="1" t="s">
        <v>665</v>
      </c>
      <c r="C474" s="1" t="s">
        <v>666</v>
      </c>
      <c r="D474" s="1">
        <v>38</v>
      </c>
      <c r="E474" s="1">
        <v>1</v>
      </c>
      <c r="F474" s="1" t="s">
        <v>953</v>
      </c>
      <c r="G474" s="1" t="s">
        <v>45</v>
      </c>
      <c r="H474" s="1" t="s">
        <v>32</v>
      </c>
      <c r="I474" s="1" t="s">
        <v>18</v>
      </c>
      <c r="J474" s="1">
        <v>32</v>
      </c>
      <c r="K474" s="1" t="s">
        <v>37</v>
      </c>
      <c r="L474" s="3">
        <v>97345</v>
      </c>
      <c r="M474" s="3">
        <v>77876</v>
      </c>
      <c r="N474" s="1" t="s">
        <v>29</v>
      </c>
      <c r="O474" s="5" t="str" cm="1">
        <f t="array" ref="O474">_xlfn.IFS(Table1[[#This Row],[Age]]&lt;25,"Young",Table1[[#This Row],[Age]]&lt;45,"Adult",Table1[[#This Row],[Age]]&gt;=45,"Old")</f>
        <v>Adult</v>
      </c>
    </row>
    <row r="475" spans="1:15" x14ac:dyDescent="0.25">
      <c r="A475" s="1">
        <v>12193</v>
      </c>
      <c r="B475" s="1" t="s">
        <v>431</v>
      </c>
      <c r="C475" s="1" t="s">
        <v>667</v>
      </c>
      <c r="D475" s="1">
        <v>63</v>
      </c>
      <c r="E475" s="1">
        <v>32</v>
      </c>
      <c r="F475" s="1" t="s">
        <v>954</v>
      </c>
      <c r="G475" s="1" t="s">
        <v>35</v>
      </c>
      <c r="H475" s="1" t="s">
        <v>32</v>
      </c>
      <c r="I475" s="1" t="s">
        <v>18</v>
      </c>
      <c r="J475" s="1">
        <v>20</v>
      </c>
      <c r="K475" s="1" t="s">
        <v>42</v>
      </c>
      <c r="L475" s="3">
        <v>68000</v>
      </c>
      <c r="M475" s="3">
        <v>34000</v>
      </c>
      <c r="N475" s="1" t="s">
        <v>29</v>
      </c>
      <c r="O475" s="5" t="str" cm="1">
        <f t="array" ref="O475">_xlfn.IFS(Table1[[#This Row],[Age]]&lt;25,"Young",Table1[[#This Row],[Age]]&lt;45,"Adult",Table1[[#This Row],[Age]]&gt;=45,"Old")</f>
        <v>Old</v>
      </c>
    </row>
    <row r="476" spans="1:15" x14ac:dyDescent="0.25">
      <c r="A476" s="1">
        <v>21707</v>
      </c>
      <c r="B476" s="1" t="s">
        <v>185</v>
      </c>
      <c r="C476" s="1" t="s">
        <v>668</v>
      </c>
      <c r="D476" s="1">
        <v>25</v>
      </c>
      <c r="E476" s="1">
        <v>7</v>
      </c>
      <c r="F476" s="1" t="s">
        <v>954</v>
      </c>
      <c r="G476" s="1" t="s">
        <v>45</v>
      </c>
      <c r="H476" s="1" t="s">
        <v>32</v>
      </c>
      <c r="I476" s="1" t="s">
        <v>18</v>
      </c>
      <c r="J476" s="1">
        <v>20</v>
      </c>
      <c r="K476" s="1" t="s">
        <v>25</v>
      </c>
      <c r="L476" s="3">
        <v>98000</v>
      </c>
      <c r="M476" s="3">
        <v>49000</v>
      </c>
      <c r="N476" s="1" t="s">
        <v>20</v>
      </c>
      <c r="O476" s="5" t="str" cm="1">
        <f t="array" ref="O476">_xlfn.IFS(Table1[[#This Row],[Age]]&lt;25,"Young",Table1[[#This Row],[Age]]&lt;45,"Adult",Table1[[#This Row],[Age]]&gt;=45,"Old")</f>
        <v>Adult</v>
      </c>
    </row>
    <row r="477" spans="1:15" x14ac:dyDescent="0.25">
      <c r="A477" s="1">
        <v>17379</v>
      </c>
      <c r="B477" s="1" t="s">
        <v>391</v>
      </c>
      <c r="C477" s="1" t="s">
        <v>669</v>
      </c>
      <c r="D477" s="1">
        <v>28</v>
      </c>
      <c r="E477" s="1">
        <v>9</v>
      </c>
      <c r="F477" s="1" t="s">
        <v>953</v>
      </c>
      <c r="G477" s="1" t="s">
        <v>23</v>
      </c>
      <c r="H477" s="1" t="s">
        <v>32</v>
      </c>
      <c r="I477" s="1" t="s">
        <v>18</v>
      </c>
      <c r="J477" s="1">
        <v>40</v>
      </c>
      <c r="K477" s="1" t="s">
        <v>25</v>
      </c>
      <c r="L477" s="3">
        <v>122000</v>
      </c>
      <c r="M477" s="3">
        <v>122000</v>
      </c>
      <c r="N477" s="1" t="s">
        <v>29</v>
      </c>
      <c r="O477" s="5" t="str" cm="1">
        <f t="array" ref="O477">_xlfn.IFS(Table1[[#This Row],[Age]]&lt;25,"Young",Table1[[#This Row],[Age]]&lt;45,"Adult",Table1[[#This Row],[Age]]&gt;=45,"Old")</f>
        <v>Adult</v>
      </c>
    </row>
    <row r="478" spans="1:15" x14ac:dyDescent="0.25">
      <c r="A478" s="1">
        <v>13783</v>
      </c>
      <c r="B478" s="1" t="s">
        <v>670</v>
      </c>
      <c r="C478" s="1" t="s">
        <v>671</v>
      </c>
      <c r="D478" s="1">
        <v>36</v>
      </c>
      <c r="E478" s="1">
        <v>6</v>
      </c>
      <c r="F478" s="1" t="s">
        <v>953</v>
      </c>
      <c r="G478" s="1" t="s">
        <v>45</v>
      </c>
      <c r="H478" s="1" t="s">
        <v>64</v>
      </c>
      <c r="I478" s="1" t="s">
        <v>18</v>
      </c>
      <c r="J478" s="1">
        <v>40</v>
      </c>
      <c r="K478" s="1" t="s">
        <v>19</v>
      </c>
      <c r="L478" s="3">
        <v>138000</v>
      </c>
      <c r="M478" s="3">
        <v>138000</v>
      </c>
      <c r="N478" s="1" t="s">
        <v>26</v>
      </c>
      <c r="O478" s="5" t="str" cm="1">
        <f t="array" ref="O478">_xlfn.IFS(Table1[[#This Row],[Age]]&lt;25,"Young",Table1[[#This Row],[Age]]&lt;45,"Adult",Table1[[#This Row],[Age]]&gt;=45,"Old")</f>
        <v>Adult</v>
      </c>
    </row>
    <row r="479" spans="1:15" x14ac:dyDescent="0.25">
      <c r="A479" s="1">
        <v>18257</v>
      </c>
      <c r="B479" s="1" t="s">
        <v>672</v>
      </c>
      <c r="C479" s="1" t="s">
        <v>673</v>
      </c>
      <c r="D479" s="1">
        <v>22</v>
      </c>
      <c r="E479" s="1">
        <v>4</v>
      </c>
      <c r="F479" s="1" t="s">
        <v>954</v>
      </c>
      <c r="G479" s="1" t="s">
        <v>35</v>
      </c>
      <c r="H479" s="1" t="s">
        <v>64</v>
      </c>
      <c r="I479" s="1" t="s">
        <v>18</v>
      </c>
      <c r="J479" s="1">
        <v>20</v>
      </c>
      <c r="K479" s="1" t="s">
        <v>52</v>
      </c>
      <c r="L479" s="3">
        <v>130000</v>
      </c>
      <c r="M479" s="3">
        <v>65000</v>
      </c>
      <c r="N479" s="1" t="s">
        <v>20</v>
      </c>
      <c r="O479" s="5" t="str" cm="1">
        <f t="array" ref="O479">_xlfn.IFS(Table1[[#This Row],[Age]]&lt;25,"Young",Table1[[#This Row],[Age]]&lt;45,"Adult",Table1[[#This Row],[Age]]&gt;=45,"Old")</f>
        <v>Young</v>
      </c>
    </row>
    <row r="480" spans="1:15" x14ac:dyDescent="0.25">
      <c r="A480" s="1">
        <v>11538</v>
      </c>
      <c r="B480" s="1" t="s">
        <v>345</v>
      </c>
      <c r="C480" s="1" t="s">
        <v>288</v>
      </c>
      <c r="D480" s="1">
        <v>39</v>
      </c>
      <c r="E480" s="1">
        <v>10</v>
      </c>
      <c r="F480" s="1" t="s">
        <v>953</v>
      </c>
      <c r="G480" s="1" t="s">
        <v>45</v>
      </c>
      <c r="H480" s="1" t="s">
        <v>119</v>
      </c>
      <c r="I480" s="1" t="s">
        <v>51</v>
      </c>
      <c r="J480" s="1">
        <v>8</v>
      </c>
      <c r="K480" s="1" t="s">
        <v>52</v>
      </c>
      <c r="L480" s="3">
        <v>140400</v>
      </c>
      <c r="M480" s="3">
        <v>28080</v>
      </c>
      <c r="N480" s="1" t="s">
        <v>20</v>
      </c>
      <c r="O480" s="5" t="str" cm="1">
        <f t="array" ref="O480">_xlfn.IFS(Table1[[#This Row],[Age]]&lt;25,"Young",Table1[[#This Row],[Age]]&lt;45,"Adult",Table1[[#This Row],[Age]]&gt;=45,"Old")</f>
        <v>Adult</v>
      </c>
    </row>
    <row r="481" spans="1:15" x14ac:dyDescent="0.25">
      <c r="A481" s="1">
        <v>1591</v>
      </c>
      <c r="B481" s="1" t="s">
        <v>674</v>
      </c>
      <c r="C481" s="1" t="s">
        <v>83</v>
      </c>
      <c r="D481" s="1">
        <v>36</v>
      </c>
      <c r="E481" s="1">
        <v>14</v>
      </c>
      <c r="F481" s="1" t="s">
        <v>953</v>
      </c>
      <c r="G481" s="1" t="s">
        <v>23</v>
      </c>
      <c r="H481" s="1" t="s">
        <v>32</v>
      </c>
      <c r="I481" s="1" t="s">
        <v>51</v>
      </c>
      <c r="J481" s="1">
        <v>24</v>
      </c>
      <c r="K481" s="1" t="s">
        <v>42</v>
      </c>
      <c r="L481" s="3">
        <v>73440</v>
      </c>
      <c r="M481" s="3">
        <v>44064</v>
      </c>
      <c r="N481" s="1" t="s">
        <v>20</v>
      </c>
      <c r="O481" s="5" t="str" cm="1">
        <f t="array" ref="O481">_xlfn.IFS(Table1[[#This Row],[Age]]&lt;25,"Young",Table1[[#This Row],[Age]]&lt;45,"Adult",Table1[[#This Row],[Age]]&gt;=45,"Old")</f>
        <v>Adult</v>
      </c>
    </row>
    <row r="482" spans="1:15" x14ac:dyDescent="0.25">
      <c r="A482" s="1">
        <v>4466</v>
      </c>
      <c r="B482" s="1" t="s">
        <v>112</v>
      </c>
      <c r="C482" s="1" t="s">
        <v>675</v>
      </c>
      <c r="D482" s="1">
        <v>38</v>
      </c>
      <c r="E482" s="1">
        <v>11</v>
      </c>
      <c r="F482" s="1" t="s">
        <v>953</v>
      </c>
      <c r="G482" s="1" t="s">
        <v>35</v>
      </c>
      <c r="H482" s="1" t="s">
        <v>36</v>
      </c>
      <c r="I482" s="1" t="s">
        <v>18</v>
      </c>
      <c r="J482" s="1">
        <v>20</v>
      </c>
      <c r="K482" s="1" t="s">
        <v>19</v>
      </c>
      <c r="L482" s="3">
        <v>124200</v>
      </c>
      <c r="M482" s="3">
        <v>62100</v>
      </c>
      <c r="N482" s="1" t="s">
        <v>29</v>
      </c>
      <c r="O482" s="5" t="str" cm="1">
        <f t="array" ref="O482">_xlfn.IFS(Table1[[#This Row],[Age]]&lt;25,"Young",Table1[[#This Row],[Age]]&lt;45,"Adult",Table1[[#This Row],[Age]]&gt;=45,"Old")</f>
        <v>Adult</v>
      </c>
    </row>
    <row r="483" spans="1:15" x14ac:dyDescent="0.25">
      <c r="A483" s="1">
        <v>9246</v>
      </c>
      <c r="B483" s="1" t="s">
        <v>676</v>
      </c>
      <c r="C483" s="1" t="s">
        <v>658</v>
      </c>
      <c r="D483" s="1">
        <v>46</v>
      </c>
      <c r="E483" s="1">
        <v>8</v>
      </c>
      <c r="F483" s="1" t="s">
        <v>954</v>
      </c>
      <c r="G483" s="1" t="s">
        <v>16</v>
      </c>
      <c r="H483" s="1" t="s">
        <v>32</v>
      </c>
      <c r="I483" s="1" t="s">
        <v>18</v>
      </c>
      <c r="J483" s="1">
        <v>40</v>
      </c>
      <c r="K483" s="1" t="s">
        <v>25</v>
      </c>
      <c r="L483" s="3">
        <v>112121</v>
      </c>
      <c r="M483" s="3">
        <v>112121</v>
      </c>
      <c r="N483" s="1" t="s">
        <v>29</v>
      </c>
      <c r="O483" s="5" t="str" cm="1">
        <f t="array" ref="O483">_xlfn.IFS(Table1[[#This Row],[Age]]&lt;25,"Young",Table1[[#This Row],[Age]]&lt;45,"Adult",Table1[[#This Row],[Age]]&gt;=45,"Old")</f>
        <v>Old</v>
      </c>
    </row>
    <row r="484" spans="1:15" x14ac:dyDescent="0.25">
      <c r="A484" s="1">
        <v>6538</v>
      </c>
      <c r="B484" s="1" t="s">
        <v>510</v>
      </c>
      <c r="C484" s="1" t="s">
        <v>677</v>
      </c>
      <c r="D484" s="1">
        <v>56</v>
      </c>
      <c r="E484" s="1">
        <v>11</v>
      </c>
      <c r="F484" s="1" t="s">
        <v>954</v>
      </c>
      <c r="G484" s="1" t="s">
        <v>50</v>
      </c>
      <c r="H484" s="1" t="s">
        <v>24</v>
      </c>
      <c r="I484" s="1" t="s">
        <v>51</v>
      </c>
      <c r="J484" s="1">
        <v>24</v>
      </c>
      <c r="K484" s="1" t="s">
        <v>19</v>
      </c>
      <c r="L484" s="3">
        <v>115000</v>
      </c>
      <c r="M484" s="3">
        <v>69000</v>
      </c>
      <c r="N484" s="1" t="s">
        <v>29</v>
      </c>
      <c r="O484" s="5" t="str" cm="1">
        <f t="array" ref="O484">_xlfn.IFS(Table1[[#This Row],[Age]]&lt;25,"Young",Table1[[#This Row],[Age]]&lt;45,"Adult",Table1[[#This Row],[Age]]&gt;=45,"Old")</f>
        <v>Old</v>
      </c>
    </row>
    <row r="485" spans="1:15" x14ac:dyDescent="0.25">
      <c r="A485" s="1">
        <v>19711</v>
      </c>
      <c r="B485" s="1" t="s">
        <v>98</v>
      </c>
      <c r="C485" s="1" t="s">
        <v>188</v>
      </c>
      <c r="D485" s="1">
        <v>52</v>
      </c>
      <c r="E485" s="1">
        <v>13</v>
      </c>
      <c r="F485" s="1" t="s">
        <v>953</v>
      </c>
      <c r="G485" s="1" t="s">
        <v>50</v>
      </c>
      <c r="H485" s="1" t="s">
        <v>36</v>
      </c>
      <c r="I485" s="1" t="s">
        <v>18</v>
      </c>
      <c r="J485" s="1">
        <v>40</v>
      </c>
      <c r="K485" s="1" t="s">
        <v>42</v>
      </c>
      <c r="L485" s="3">
        <v>87000</v>
      </c>
      <c r="M485" s="3">
        <v>87000</v>
      </c>
      <c r="N485" s="1" t="s">
        <v>26</v>
      </c>
      <c r="O485" s="5" t="str" cm="1">
        <f t="array" ref="O485">_xlfn.IFS(Table1[[#This Row],[Age]]&lt;25,"Young",Table1[[#This Row],[Age]]&lt;45,"Adult",Table1[[#This Row],[Age]]&gt;=45,"Old")</f>
        <v>Old</v>
      </c>
    </row>
    <row r="486" spans="1:15" x14ac:dyDescent="0.25">
      <c r="A486" s="1">
        <v>9385</v>
      </c>
      <c r="B486" s="1" t="s">
        <v>527</v>
      </c>
      <c r="C486" s="1" t="s">
        <v>678</v>
      </c>
      <c r="D486" s="1">
        <v>40</v>
      </c>
      <c r="E486" s="1">
        <v>13</v>
      </c>
      <c r="F486" s="1" t="s">
        <v>953</v>
      </c>
      <c r="G486" s="1" t="s">
        <v>45</v>
      </c>
      <c r="H486" s="1" t="s">
        <v>32</v>
      </c>
      <c r="I486" s="1" t="s">
        <v>18</v>
      </c>
      <c r="J486" s="1">
        <v>20</v>
      </c>
      <c r="K486" s="1" t="s">
        <v>42</v>
      </c>
      <c r="L486" s="3">
        <v>73440</v>
      </c>
      <c r="M486" s="3">
        <v>36720</v>
      </c>
      <c r="N486" s="1" t="s">
        <v>26</v>
      </c>
      <c r="O486" s="5" t="str" cm="1">
        <f t="array" ref="O486">_xlfn.IFS(Table1[[#This Row],[Age]]&lt;25,"Young",Table1[[#This Row],[Age]]&lt;45,"Adult",Table1[[#This Row],[Age]]&gt;=45,"Old")</f>
        <v>Adult</v>
      </c>
    </row>
    <row r="487" spans="1:15" x14ac:dyDescent="0.25">
      <c r="A487" s="1">
        <v>1940</v>
      </c>
      <c r="B487" s="1" t="s">
        <v>156</v>
      </c>
      <c r="C487" s="1" t="s">
        <v>471</v>
      </c>
      <c r="D487" s="1">
        <v>45</v>
      </c>
      <c r="E487" s="1">
        <v>12</v>
      </c>
      <c r="F487" s="1" t="s">
        <v>953</v>
      </c>
      <c r="G487" s="1" t="s">
        <v>45</v>
      </c>
      <c r="H487" s="1" t="s">
        <v>24</v>
      </c>
      <c r="I487" s="1" t="s">
        <v>18</v>
      </c>
      <c r="J487" s="1">
        <v>40</v>
      </c>
      <c r="K487" s="1" t="s">
        <v>25</v>
      </c>
      <c r="L487" s="3">
        <v>108933</v>
      </c>
      <c r="M487" s="3">
        <v>108933</v>
      </c>
      <c r="N487" s="1" t="s">
        <v>26</v>
      </c>
      <c r="O487" s="5" t="str" cm="1">
        <f t="array" ref="O487">_xlfn.IFS(Table1[[#This Row],[Age]]&lt;25,"Young",Table1[[#This Row],[Age]]&lt;45,"Adult",Table1[[#This Row],[Age]]&gt;=45,"Old")</f>
        <v>Old</v>
      </c>
    </row>
    <row r="488" spans="1:15" x14ac:dyDescent="0.25">
      <c r="A488" s="1">
        <v>4239</v>
      </c>
      <c r="B488" s="1" t="s">
        <v>563</v>
      </c>
      <c r="C488" s="1" t="s">
        <v>679</v>
      </c>
      <c r="D488" s="1">
        <v>40</v>
      </c>
      <c r="E488" s="1">
        <v>9</v>
      </c>
      <c r="F488" s="1" t="s">
        <v>954</v>
      </c>
      <c r="G488" s="1" t="s">
        <v>35</v>
      </c>
      <c r="H488" s="1" t="s">
        <v>36</v>
      </c>
      <c r="I488" s="1" t="s">
        <v>18</v>
      </c>
      <c r="J488" s="1">
        <v>20</v>
      </c>
      <c r="K488" s="1" t="s">
        <v>37</v>
      </c>
      <c r="L488" s="3">
        <v>85000</v>
      </c>
      <c r="M488" s="3">
        <v>42500</v>
      </c>
      <c r="N488" s="1" t="s">
        <v>29</v>
      </c>
      <c r="O488" s="5" t="str" cm="1">
        <f t="array" ref="O488">_xlfn.IFS(Table1[[#This Row],[Age]]&lt;25,"Young",Table1[[#This Row],[Age]]&lt;45,"Adult",Table1[[#This Row],[Age]]&gt;=45,"Old")</f>
        <v>Adult</v>
      </c>
    </row>
    <row r="489" spans="1:15" x14ac:dyDescent="0.25">
      <c r="A489" s="1">
        <v>21861</v>
      </c>
      <c r="B489" s="1" t="s">
        <v>416</v>
      </c>
      <c r="C489" s="1" t="s">
        <v>417</v>
      </c>
      <c r="D489" s="1">
        <v>30</v>
      </c>
      <c r="E489" s="1">
        <v>5</v>
      </c>
      <c r="F489" s="1" t="s">
        <v>953</v>
      </c>
      <c r="G489" s="1" t="s">
        <v>16</v>
      </c>
      <c r="H489" s="1" t="s">
        <v>17</v>
      </c>
      <c r="I489" s="1" t="s">
        <v>18</v>
      </c>
      <c r="J489" s="1">
        <v>20</v>
      </c>
      <c r="K489" s="1" t="s">
        <v>25</v>
      </c>
      <c r="L489" s="3">
        <v>108320</v>
      </c>
      <c r="M489" s="3">
        <v>54160</v>
      </c>
      <c r="N489" s="1" t="s">
        <v>29</v>
      </c>
      <c r="O489" s="5" t="str" cm="1">
        <f t="array" ref="O489">_xlfn.IFS(Table1[[#This Row],[Age]]&lt;25,"Young",Table1[[#This Row],[Age]]&lt;45,"Adult",Table1[[#This Row],[Age]]&gt;=45,"Old")</f>
        <v>Adult</v>
      </c>
    </row>
    <row r="490" spans="1:15" x14ac:dyDescent="0.25">
      <c r="A490" s="1">
        <v>15554</v>
      </c>
      <c r="B490" s="1" t="s">
        <v>65</v>
      </c>
      <c r="C490" s="1" t="s">
        <v>236</v>
      </c>
      <c r="D490" s="1">
        <v>64</v>
      </c>
      <c r="E490" s="1">
        <v>6</v>
      </c>
      <c r="F490" s="1" t="s">
        <v>953</v>
      </c>
      <c r="G490" s="1" t="s">
        <v>23</v>
      </c>
      <c r="H490" s="1" t="s">
        <v>24</v>
      </c>
      <c r="I490" s="1" t="s">
        <v>18</v>
      </c>
      <c r="J490" s="1">
        <v>20</v>
      </c>
      <c r="K490" s="1" t="s">
        <v>25</v>
      </c>
      <c r="L490" s="3">
        <v>122000</v>
      </c>
      <c r="M490" s="3">
        <v>61000</v>
      </c>
      <c r="N490" s="1" t="s">
        <v>26</v>
      </c>
      <c r="O490" s="5" t="str" cm="1">
        <f t="array" ref="O490">_xlfn.IFS(Table1[[#This Row],[Age]]&lt;25,"Young",Table1[[#This Row],[Age]]&lt;45,"Adult",Table1[[#This Row],[Age]]&gt;=45,"Old")</f>
        <v>Old</v>
      </c>
    </row>
    <row r="491" spans="1:15" x14ac:dyDescent="0.25">
      <c r="A491" s="1">
        <v>20235</v>
      </c>
      <c r="B491" s="1" t="s">
        <v>521</v>
      </c>
      <c r="C491" s="1" t="s">
        <v>680</v>
      </c>
      <c r="D491" s="1">
        <v>32</v>
      </c>
      <c r="E491" s="1">
        <v>6</v>
      </c>
      <c r="F491" s="1" t="s">
        <v>954</v>
      </c>
      <c r="G491" s="1" t="s">
        <v>50</v>
      </c>
      <c r="H491" s="1" t="s">
        <v>32</v>
      </c>
      <c r="I491" s="1" t="s">
        <v>18</v>
      </c>
      <c r="J491" s="1">
        <v>32</v>
      </c>
      <c r="K491" s="1" t="s">
        <v>25</v>
      </c>
      <c r="L491" s="3">
        <v>98000</v>
      </c>
      <c r="M491" s="3">
        <v>78400</v>
      </c>
      <c r="N491" s="1" t="s">
        <v>26</v>
      </c>
      <c r="O491" s="5" t="str" cm="1">
        <f t="array" ref="O491">_xlfn.IFS(Table1[[#This Row],[Age]]&lt;25,"Young",Table1[[#This Row],[Age]]&lt;45,"Adult",Table1[[#This Row],[Age]]&gt;=45,"Old")</f>
        <v>Adult</v>
      </c>
    </row>
    <row r="492" spans="1:15" x14ac:dyDescent="0.25">
      <c r="A492" s="1">
        <v>14926</v>
      </c>
      <c r="B492" s="1" t="s">
        <v>159</v>
      </c>
      <c r="C492" s="1" t="s">
        <v>681</v>
      </c>
      <c r="D492" s="1">
        <v>53</v>
      </c>
      <c r="E492" s="1">
        <v>14</v>
      </c>
      <c r="F492" s="1" t="s">
        <v>953</v>
      </c>
      <c r="G492" s="1" t="s">
        <v>50</v>
      </c>
      <c r="H492" s="1" t="s">
        <v>17</v>
      </c>
      <c r="I492" s="1" t="s">
        <v>18</v>
      </c>
      <c r="J492" s="1">
        <v>20</v>
      </c>
      <c r="K492" s="1" t="s">
        <v>37</v>
      </c>
      <c r="L492" s="3">
        <v>107000</v>
      </c>
      <c r="M492" s="3">
        <v>53500</v>
      </c>
      <c r="N492" s="1" t="s">
        <v>29</v>
      </c>
      <c r="O492" s="5" t="str" cm="1">
        <f t="array" ref="O492">_xlfn.IFS(Table1[[#This Row],[Age]]&lt;25,"Young",Table1[[#This Row],[Age]]&lt;45,"Adult",Table1[[#This Row],[Age]]&gt;=45,"Old")</f>
        <v>Old</v>
      </c>
    </row>
    <row r="493" spans="1:15" x14ac:dyDescent="0.25">
      <c r="A493" s="1">
        <v>12014</v>
      </c>
      <c r="B493" s="1" t="s">
        <v>21</v>
      </c>
      <c r="C493" s="1" t="s">
        <v>107</v>
      </c>
      <c r="D493" s="1">
        <v>45</v>
      </c>
      <c r="E493" s="1">
        <v>11</v>
      </c>
      <c r="F493" s="1" t="s">
        <v>953</v>
      </c>
      <c r="G493" s="1" t="s">
        <v>16</v>
      </c>
      <c r="H493" s="1" t="s">
        <v>17</v>
      </c>
      <c r="I493" s="1" t="s">
        <v>51</v>
      </c>
      <c r="J493" s="1">
        <v>40</v>
      </c>
      <c r="K493" s="1" t="s">
        <v>52</v>
      </c>
      <c r="L493" s="3">
        <v>147194</v>
      </c>
      <c r="M493" s="3">
        <v>147194</v>
      </c>
      <c r="N493" s="1" t="s">
        <v>26</v>
      </c>
      <c r="O493" s="5" t="str" cm="1">
        <f t="array" ref="O493">_xlfn.IFS(Table1[[#This Row],[Age]]&lt;25,"Young",Table1[[#This Row],[Age]]&lt;45,"Adult",Table1[[#This Row],[Age]]&gt;=45,"Old")</f>
        <v>Old</v>
      </c>
    </row>
    <row r="494" spans="1:15" x14ac:dyDescent="0.25">
      <c r="A494" s="1">
        <v>10965</v>
      </c>
      <c r="B494" s="1" t="s">
        <v>682</v>
      </c>
      <c r="C494" s="1" t="s">
        <v>683</v>
      </c>
      <c r="D494" s="1">
        <v>61</v>
      </c>
      <c r="E494" s="1">
        <v>14</v>
      </c>
      <c r="F494" s="1" t="s">
        <v>953</v>
      </c>
      <c r="G494" s="1" t="s">
        <v>16</v>
      </c>
      <c r="H494" s="1" t="s">
        <v>36</v>
      </c>
      <c r="I494" s="1" t="s">
        <v>18</v>
      </c>
      <c r="J494" s="1">
        <v>40</v>
      </c>
      <c r="K494" s="1" t="s">
        <v>37</v>
      </c>
      <c r="L494" s="3">
        <v>91816</v>
      </c>
      <c r="M494" s="3">
        <v>91816</v>
      </c>
      <c r="N494" s="1" t="s">
        <v>20</v>
      </c>
      <c r="O494" s="5" t="str" cm="1">
        <f t="array" ref="O494">_xlfn.IFS(Table1[[#This Row],[Age]]&lt;25,"Young",Table1[[#This Row],[Age]]&lt;45,"Adult",Table1[[#This Row],[Age]]&gt;=45,"Old")</f>
        <v>Old</v>
      </c>
    </row>
    <row r="495" spans="1:15" x14ac:dyDescent="0.25">
      <c r="A495" s="1">
        <v>14986</v>
      </c>
      <c r="B495" s="1" t="s">
        <v>684</v>
      </c>
      <c r="C495" s="1" t="s">
        <v>685</v>
      </c>
      <c r="D495" s="1">
        <v>31</v>
      </c>
      <c r="E495" s="1">
        <v>13</v>
      </c>
      <c r="F495" s="1" t="s">
        <v>954</v>
      </c>
      <c r="G495" s="1" t="s">
        <v>23</v>
      </c>
      <c r="H495" s="1" t="s">
        <v>36</v>
      </c>
      <c r="I495" s="1" t="s">
        <v>18</v>
      </c>
      <c r="J495" s="1">
        <v>24</v>
      </c>
      <c r="K495" s="1" t="s">
        <v>19</v>
      </c>
      <c r="L495" s="3">
        <v>115000</v>
      </c>
      <c r="M495" s="3">
        <v>69000</v>
      </c>
      <c r="N495" s="1" t="s">
        <v>20</v>
      </c>
      <c r="O495" s="5" t="str" cm="1">
        <f t="array" ref="O495">_xlfn.IFS(Table1[[#This Row],[Age]]&lt;25,"Young",Table1[[#This Row],[Age]]&lt;45,"Adult",Table1[[#This Row],[Age]]&gt;=45,"Old")</f>
        <v>Adult</v>
      </c>
    </row>
    <row r="496" spans="1:15" x14ac:dyDescent="0.25">
      <c r="A496" s="1">
        <v>20551</v>
      </c>
      <c r="B496" s="1" t="s">
        <v>686</v>
      </c>
      <c r="C496" s="1" t="s">
        <v>687</v>
      </c>
      <c r="D496" s="1">
        <v>36</v>
      </c>
      <c r="E496" s="1">
        <v>3</v>
      </c>
      <c r="F496" s="1" t="s">
        <v>954</v>
      </c>
      <c r="G496" s="1" t="s">
        <v>45</v>
      </c>
      <c r="H496" s="1" t="s">
        <v>36</v>
      </c>
      <c r="I496" s="1" t="s">
        <v>18</v>
      </c>
      <c r="J496" s="1">
        <v>40</v>
      </c>
      <c r="K496" s="1" t="s">
        <v>37</v>
      </c>
      <c r="L496" s="3">
        <v>95782</v>
      </c>
      <c r="M496" s="3">
        <v>95782</v>
      </c>
      <c r="N496" s="1" t="s">
        <v>29</v>
      </c>
      <c r="O496" s="5" t="str" cm="1">
        <f t="array" ref="O496">_xlfn.IFS(Table1[[#This Row],[Age]]&lt;25,"Young",Table1[[#This Row],[Age]]&lt;45,"Adult",Table1[[#This Row],[Age]]&gt;=45,"Old")</f>
        <v>Adult</v>
      </c>
    </row>
    <row r="497" spans="1:15" x14ac:dyDescent="0.25">
      <c r="A497" s="1">
        <v>17445</v>
      </c>
      <c r="B497" s="1" t="s">
        <v>688</v>
      </c>
      <c r="C497" s="1" t="s">
        <v>269</v>
      </c>
      <c r="D497" s="1">
        <v>47</v>
      </c>
      <c r="E497" s="1">
        <v>27</v>
      </c>
      <c r="F497" s="1" t="s">
        <v>954</v>
      </c>
      <c r="G497" s="1" t="s">
        <v>45</v>
      </c>
      <c r="H497" s="1" t="s">
        <v>24</v>
      </c>
      <c r="I497" s="1" t="s">
        <v>18</v>
      </c>
      <c r="J497" s="1">
        <v>32</v>
      </c>
      <c r="K497" s="1" t="s">
        <v>25</v>
      </c>
      <c r="L497" s="3">
        <v>102735</v>
      </c>
      <c r="M497" s="3">
        <v>82188</v>
      </c>
      <c r="N497" s="1" t="s">
        <v>29</v>
      </c>
      <c r="O497" s="5" t="str" cm="1">
        <f t="array" ref="O497">_xlfn.IFS(Table1[[#This Row],[Age]]&lt;25,"Young",Table1[[#This Row],[Age]]&lt;45,"Adult",Table1[[#This Row],[Age]]&gt;=45,"Old")</f>
        <v>Old</v>
      </c>
    </row>
    <row r="498" spans="1:15" x14ac:dyDescent="0.25">
      <c r="A498" s="1">
        <v>4476</v>
      </c>
      <c r="B498" s="1" t="s">
        <v>348</v>
      </c>
      <c r="C498" s="1" t="s">
        <v>580</v>
      </c>
      <c r="D498" s="1">
        <v>48</v>
      </c>
      <c r="E498" s="1">
        <v>21</v>
      </c>
      <c r="F498" s="1" t="s">
        <v>953</v>
      </c>
      <c r="G498" s="1" t="s">
        <v>35</v>
      </c>
      <c r="H498" s="1" t="s">
        <v>32</v>
      </c>
      <c r="I498" s="1" t="s">
        <v>51</v>
      </c>
      <c r="J498" s="1">
        <v>16</v>
      </c>
      <c r="K498" s="1" t="s">
        <v>42</v>
      </c>
      <c r="L498" s="3">
        <v>75264</v>
      </c>
      <c r="M498" s="3">
        <v>30105.599999999999</v>
      </c>
      <c r="N498" s="1" t="s">
        <v>29</v>
      </c>
      <c r="O498" s="5" t="str" cm="1">
        <f t="array" ref="O498">_xlfn.IFS(Table1[[#This Row],[Age]]&lt;25,"Young",Table1[[#This Row],[Age]]&lt;45,"Adult",Table1[[#This Row],[Age]]&gt;=45,"Old")</f>
        <v>Old</v>
      </c>
    </row>
    <row r="499" spans="1:15" x14ac:dyDescent="0.25">
      <c r="A499" s="1">
        <v>13309</v>
      </c>
      <c r="B499" s="1" t="s">
        <v>618</v>
      </c>
      <c r="C499" s="1" t="s">
        <v>689</v>
      </c>
      <c r="D499" s="1">
        <v>23</v>
      </c>
      <c r="E499" s="1">
        <v>2</v>
      </c>
      <c r="F499" s="1" t="s">
        <v>953</v>
      </c>
      <c r="G499" s="1" t="s">
        <v>35</v>
      </c>
      <c r="H499" s="1" t="s">
        <v>36</v>
      </c>
      <c r="I499" s="1" t="s">
        <v>18</v>
      </c>
      <c r="J499" s="1">
        <v>16</v>
      </c>
      <c r="K499" s="1" t="s">
        <v>42</v>
      </c>
      <c r="L499" s="3">
        <v>80284</v>
      </c>
      <c r="M499" s="3">
        <v>32113.599999999999</v>
      </c>
      <c r="N499" s="1" t="s">
        <v>29</v>
      </c>
      <c r="O499" s="5" t="str" cm="1">
        <f t="array" ref="O499">_xlfn.IFS(Table1[[#This Row],[Age]]&lt;25,"Young",Table1[[#This Row],[Age]]&lt;45,"Adult",Table1[[#This Row],[Age]]&gt;=45,"Old")</f>
        <v>Young</v>
      </c>
    </row>
    <row r="500" spans="1:15" x14ac:dyDescent="0.25">
      <c r="A500" s="1">
        <v>19580</v>
      </c>
      <c r="B500" s="1" t="s">
        <v>146</v>
      </c>
      <c r="C500" s="1" t="s">
        <v>690</v>
      </c>
      <c r="D500" s="1">
        <v>38</v>
      </c>
      <c r="E500" s="1">
        <v>16</v>
      </c>
      <c r="F500" s="1" t="s">
        <v>954</v>
      </c>
      <c r="G500" s="1" t="s">
        <v>50</v>
      </c>
      <c r="H500" s="1" t="s">
        <v>36</v>
      </c>
      <c r="I500" s="1" t="s">
        <v>18</v>
      </c>
      <c r="J500" s="1">
        <v>40</v>
      </c>
      <c r="K500" s="1" t="s">
        <v>37</v>
      </c>
      <c r="L500" s="3">
        <v>94051</v>
      </c>
      <c r="M500" s="3">
        <v>94051</v>
      </c>
      <c r="N500" s="1" t="s">
        <v>26</v>
      </c>
      <c r="O500" s="5" t="str" cm="1">
        <f t="array" ref="O500">_xlfn.IFS(Table1[[#This Row],[Age]]&lt;25,"Young",Table1[[#This Row],[Age]]&lt;45,"Adult",Table1[[#This Row],[Age]]&gt;=45,"Old")</f>
        <v>Adult</v>
      </c>
    </row>
    <row r="501" spans="1:15" x14ac:dyDescent="0.25">
      <c r="A501" s="1">
        <v>6915</v>
      </c>
      <c r="B501" s="1" t="s">
        <v>691</v>
      </c>
      <c r="C501" s="1" t="s">
        <v>692</v>
      </c>
      <c r="D501" s="1">
        <v>38</v>
      </c>
      <c r="E501" s="1">
        <v>17</v>
      </c>
      <c r="F501" s="1" t="s">
        <v>953</v>
      </c>
      <c r="G501" s="1" t="s">
        <v>16</v>
      </c>
      <c r="H501" s="1" t="s">
        <v>32</v>
      </c>
      <c r="I501" s="1" t="s">
        <v>18</v>
      </c>
      <c r="J501" s="1">
        <v>40</v>
      </c>
      <c r="K501" s="1" t="s">
        <v>37</v>
      </c>
      <c r="L501" s="3">
        <v>93522</v>
      </c>
      <c r="M501" s="3">
        <v>93522</v>
      </c>
      <c r="N501" s="1" t="s">
        <v>29</v>
      </c>
      <c r="O501" s="5" t="str" cm="1">
        <f t="array" ref="O501">_xlfn.IFS(Table1[[#This Row],[Age]]&lt;25,"Young",Table1[[#This Row],[Age]]&lt;45,"Adult",Table1[[#This Row],[Age]]&gt;=45,"Old")</f>
        <v>Adult</v>
      </c>
    </row>
    <row r="502" spans="1:15" x14ac:dyDescent="0.25">
      <c r="A502" s="1">
        <v>9033</v>
      </c>
      <c r="B502" s="1" t="s">
        <v>346</v>
      </c>
      <c r="C502" s="1" t="s">
        <v>693</v>
      </c>
      <c r="D502" s="1">
        <v>57</v>
      </c>
      <c r="E502" s="1">
        <v>6</v>
      </c>
      <c r="F502" s="1" t="s">
        <v>954</v>
      </c>
      <c r="G502" s="1" t="s">
        <v>16</v>
      </c>
      <c r="H502" s="1" t="s">
        <v>32</v>
      </c>
      <c r="I502" s="1" t="s">
        <v>51</v>
      </c>
      <c r="J502" s="1">
        <v>40</v>
      </c>
      <c r="K502" s="1" t="s">
        <v>42</v>
      </c>
      <c r="L502" s="3">
        <v>68575</v>
      </c>
      <c r="M502" s="3">
        <v>68575</v>
      </c>
      <c r="N502" s="1" t="s">
        <v>29</v>
      </c>
      <c r="O502" s="5" t="str" cm="1">
        <f t="array" ref="O502">_xlfn.IFS(Table1[[#This Row],[Age]]&lt;25,"Young",Table1[[#This Row],[Age]]&lt;45,"Adult",Table1[[#This Row],[Age]]&gt;=45,"Old")</f>
        <v>Old</v>
      </c>
    </row>
    <row r="503" spans="1:15" x14ac:dyDescent="0.25">
      <c r="A503" s="1">
        <v>14926</v>
      </c>
      <c r="B503" s="1" t="s">
        <v>159</v>
      </c>
      <c r="C503" s="1" t="s">
        <v>681</v>
      </c>
      <c r="D503" s="1">
        <v>53</v>
      </c>
      <c r="E503" s="1">
        <v>14</v>
      </c>
      <c r="F503" s="1" t="s">
        <v>953</v>
      </c>
      <c r="G503" s="1" t="s">
        <v>50</v>
      </c>
      <c r="H503" s="1" t="s">
        <v>24</v>
      </c>
      <c r="I503" s="1" t="s">
        <v>18</v>
      </c>
      <c r="J503" s="1">
        <v>20</v>
      </c>
      <c r="K503" s="1" t="s">
        <v>37</v>
      </c>
      <c r="L503" s="3">
        <v>107000</v>
      </c>
      <c r="M503" s="3">
        <v>53500</v>
      </c>
      <c r="N503" s="1" t="s">
        <v>29</v>
      </c>
      <c r="O503" s="5" t="str" cm="1">
        <f t="array" ref="O503">_xlfn.IFS(Table1[[#This Row],[Age]]&lt;25,"Young",Table1[[#This Row],[Age]]&lt;45,"Adult",Table1[[#This Row],[Age]]&gt;=45,"Old")</f>
        <v>Old</v>
      </c>
    </row>
    <row r="504" spans="1:15" x14ac:dyDescent="0.25">
      <c r="A504" s="1">
        <v>2141</v>
      </c>
      <c r="B504" s="1" t="s">
        <v>694</v>
      </c>
      <c r="C504" s="1" t="s">
        <v>695</v>
      </c>
      <c r="D504" s="1">
        <v>43</v>
      </c>
      <c r="E504" s="1">
        <v>24</v>
      </c>
      <c r="F504" s="1" t="s">
        <v>953</v>
      </c>
      <c r="G504" s="1" t="s">
        <v>23</v>
      </c>
      <c r="H504" s="1" t="s">
        <v>32</v>
      </c>
      <c r="I504" s="1" t="s">
        <v>18</v>
      </c>
      <c r="J504" s="1">
        <v>40</v>
      </c>
      <c r="K504" s="1" t="s">
        <v>25</v>
      </c>
      <c r="L504" s="3">
        <v>112087</v>
      </c>
      <c r="M504" s="3">
        <v>112087</v>
      </c>
      <c r="N504" s="1" t="s">
        <v>26</v>
      </c>
      <c r="O504" s="5" t="str" cm="1">
        <f t="array" ref="O504">_xlfn.IFS(Table1[[#This Row],[Age]]&lt;25,"Young",Table1[[#This Row],[Age]]&lt;45,"Adult",Table1[[#This Row],[Age]]&gt;=45,"Old")</f>
        <v>Adult</v>
      </c>
    </row>
    <row r="505" spans="1:15" x14ac:dyDescent="0.25">
      <c r="A505" s="1">
        <v>14975</v>
      </c>
      <c r="B505" s="1" t="s">
        <v>554</v>
      </c>
      <c r="C505" s="1" t="s">
        <v>140</v>
      </c>
      <c r="D505" s="1">
        <v>30</v>
      </c>
      <c r="E505" s="1">
        <v>11</v>
      </c>
      <c r="F505" s="1" t="s">
        <v>954</v>
      </c>
      <c r="G505" s="1" t="s">
        <v>35</v>
      </c>
      <c r="H505" s="1" t="s">
        <v>36</v>
      </c>
      <c r="I505" s="1" t="s">
        <v>18</v>
      </c>
      <c r="J505" s="1">
        <v>20</v>
      </c>
      <c r="K505" s="1" t="s">
        <v>25</v>
      </c>
      <c r="L505" s="3">
        <v>98000</v>
      </c>
      <c r="M505" s="3">
        <v>49000</v>
      </c>
      <c r="N505" s="1" t="s">
        <v>20</v>
      </c>
      <c r="O505" s="5" t="str" cm="1">
        <f t="array" ref="O505">_xlfn.IFS(Table1[[#This Row],[Age]]&lt;25,"Young",Table1[[#This Row],[Age]]&lt;45,"Adult",Table1[[#This Row],[Age]]&gt;=45,"Old")</f>
        <v>Adult</v>
      </c>
    </row>
    <row r="506" spans="1:15" x14ac:dyDescent="0.25">
      <c r="A506" s="1">
        <v>742</v>
      </c>
      <c r="B506" s="1" t="s">
        <v>696</v>
      </c>
      <c r="C506" s="1" t="s">
        <v>90</v>
      </c>
      <c r="D506" s="1">
        <v>48</v>
      </c>
      <c r="E506" s="1">
        <v>9</v>
      </c>
      <c r="F506" s="1" t="s">
        <v>953</v>
      </c>
      <c r="G506" s="1" t="s">
        <v>23</v>
      </c>
      <c r="H506" s="1" t="s">
        <v>32</v>
      </c>
      <c r="I506" s="1" t="s">
        <v>18</v>
      </c>
      <c r="J506" s="1">
        <v>20</v>
      </c>
      <c r="K506" s="1" t="s">
        <v>37</v>
      </c>
      <c r="L506" s="3">
        <v>91800</v>
      </c>
      <c r="M506" s="3">
        <v>45900</v>
      </c>
      <c r="N506" s="1" t="s">
        <v>20</v>
      </c>
      <c r="O506" s="5" t="str" cm="1">
        <f t="array" ref="O506">_xlfn.IFS(Table1[[#This Row],[Age]]&lt;25,"Young",Table1[[#This Row],[Age]]&lt;45,"Adult",Table1[[#This Row],[Age]]&gt;=45,"Old")</f>
        <v>Old</v>
      </c>
    </row>
    <row r="507" spans="1:15" x14ac:dyDescent="0.25">
      <c r="A507" s="1">
        <v>17723</v>
      </c>
      <c r="B507" s="1" t="s">
        <v>697</v>
      </c>
      <c r="C507" s="1" t="s">
        <v>685</v>
      </c>
      <c r="D507" s="1">
        <v>31</v>
      </c>
      <c r="E507" s="1">
        <v>5</v>
      </c>
      <c r="F507" s="1" t="s">
        <v>954</v>
      </c>
      <c r="G507" s="1" t="s">
        <v>45</v>
      </c>
      <c r="H507" s="1" t="s">
        <v>36</v>
      </c>
      <c r="I507" s="1" t="s">
        <v>18</v>
      </c>
      <c r="J507" s="1">
        <v>24</v>
      </c>
      <c r="K507" s="1" t="s">
        <v>42</v>
      </c>
      <c r="L507" s="3">
        <v>68000</v>
      </c>
      <c r="M507" s="3">
        <v>40800</v>
      </c>
      <c r="N507" s="1" t="s">
        <v>29</v>
      </c>
      <c r="O507" s="5" t="str" cm="1">
        <f t="array" ref="O507">_xlfn.IFS(Table1[[#This Row],[Age]]&lt;25,"Young",Table1[[#This Row],[Age]]&lt;45,"Adult",Table1[[#This Row],[Age]]&gt;=45,"Old")</f>
        <v>Adult</v>
      </c>
    </row>
    <row r="508" spans="1:15" x14ac:dyDescent="0.25">
      <c r="A508" s="1">
        <v>18330</v>
      </c>
      <c r="B508" s="1" t="s">
        <v>698</v>
      </c>
      <c r="C508" s="1" t="s">
        <v>34</v>
      </c>
      <c r="D508" s="1">
        <v>40</v>
      </c>
      <c r="E508" s="1">
        <v>3</v>
      </c>
      <c r="F508" s="1" t="s">
        <v>954</v>
      </c>
      <c r="G508" s="1" t="s">
        <v>16</v>
      </c>
      <c r="H508" s="1" t="s">
        <v>24</v>
      </c>
      <c r="I508" s="1" t="s">
        <v>18</v>
      </c>
      <c r="J508" s="1">
        <v>20</v>
      </c>
      <c r="K508" s="1" t="s">
        <v>19</v>
      </c>
      <c r="L508" s="3">
        <v>124027</v>
      </c>
      <c r="M508" s="3">
        <v>62013.5</v>
      </c>
      <c r="N508" s="1" t="s">
        <v>26</v>
      </c>
      <c r="O508" s="5" t="str" cm="1">
        <f t="array" ref="O508">_xlfn.IFS(Table1[[#This Row],[Age]]&lt;25,"Young",Table1[[#This Row],[Age]]&lt;45,"Adult",Table1[[#This Row],[Age]]&gt;=45,"Old")</f>
        <v>Adult</v>
      </c>
    </row>
    <row r="509" spans="1:15" x14ac:dyDescent="0.25">
      <c r="A509" s="1">
        <v>22662</v>
      </c>
      <c r="B509" s="1" t="s">
        <v>156</v>
      </c>
      <c r="C509" s="1" t="s">
        <v>699</v>
      </c>
      <c r="D509" s="1">
        <v>36</v>
      </c>
      <c r="E509" s="1">
        <v>16</v>
      </c>
      <c r="F509" s="1" t="s">
        <v>953</v>
      </c>
      <c r="G509" s="1" t="s">
        <v>35</v>
      </c>
      <c r="H509" s="1" t="s">
        <v>24</v>
      </c>
      <c r="I509" s="1" t="s">
        <v>18</v>
      </c>
      <c r="J509" s="1">
        <v>40</v>
      </c>
      <c r="K509" s="1" t="s">
        <v>25</v>
      </c>
      <c r="L509" s="3">
        <v>117807</v>
      </c>
      <c r="M509" s="3">
        <v>117807</v>
      </c>
      <c r="N509" s="1" t="s">
        <v>29</v>
      </c>
      <c r="O509" s="5" t="str" cm="1">
        <f t="array" ref="O509">_xlfn.IFS(Table1[[#This Row],[Age]]&lt;25,"Young",Table1[[#This Row],[Age]]&lt;45,"Adult",Table1[[#This Row],[Age]]&gt;=45,"Old")</f>
        <v>Adult</v>
      </c>
    </row>
    <row r="510" spans="1:15" x14ac:dyDescent="0.25">
      <c r="A510" s="1">
        <v>7143</v>
      </c>
      <c r="B510" s="1" t="s">
        <v>308</v>
      </c>
      <c r="C510" s="1" t="s">
        <v>61</v>
      </c>
      <c r="D510" s="1">
        <v>34</v>
      </c>
      <c r="E510" s="1">
        <v>6</v>
      </c>
      <c r="F510" s="1" t="s">
        <v>953</v>
      </c>
      <c r="G510" s="1" t="s">
        <v>45</v>
      </c>
      <c r="H510" s="1" t="s">
        <v>36</v>
      </c>
      <c r="I510" s="1" t="s">
        <v>18</v>
      </c>
      <c r="J510" s="1">
        <v>20</v>
      </c>
      <c r="K510" s="1" t="s">
        <v>19</v>
      </c>
      <c r="L510" s="3">
        <v>124200</v>
      </c>
      <c r="M510" s="3">
        <v>62100</v>
      </c>
      <c r="N510" s="1" t="s">
        <v>29</v>
      </c>
      <c r="O510" s="5" t="str" cm="1">
        <f t="array" ref="O510">_xlfn.IFS(Table1[[#This Row],[Age]]&lt;25,"Young",Table1[[#This Row],[Age]]&lt;45,"Adult",Table1[[#This Row],[Age]]&gt;=45,"Old")</f>
        <v>Adult</v>
      </c>
    </row>
    <row r="511" spans="1:15" x14ac:dyDescent="0.25">
      <c r="A511" s="1">
        <v>12621</v>
      </c>
      <c r="B511" s="1" t="s">
        <v>95</v>
      </c>
      <c r="C511" s="1" t="s">
        <v>700</v>
      </c>
      <c r="D511" s="1">
        <v>41</v>
      </c>
      <c r="E511" s="1">
        <v>23</v>
      </c>
      <c r="F511" s="1" t="s">
        <v>954</v>
      </c>
      <c r="G511" s="1" t="s">
        <v>45</v>
      </c>
      <c r="H511" s="1" t="s">
        <v>36</v>
      </c>
      <c r="I511" s="1" t="s">
        <v>18</v>
      </c>
      <c r="J511" s="1">
        <v>40</v>
      </c>
      <c r="K511" s="1" t="s">
        <v>25</v>
      </c>
      <c r="L511" s="3">
        <v>105672</v>
      </c>
      <c r="M511" s="3">
        <v>105672</v>
      </c>
      <c r="N511" s="1" t="s">
        <v>29</v>
      </c>
      <c r="O511" s="5" t="str" cm="1">
        <f t="array" ref="O511">_xlfn.IFS(Table1[[#This Row],[Age]]&lt;25,"Young",Table1[[#This Row],[Age]]&lt;45,"Adult",Table1[[#This Row],[Age]]&gt;=45,"Old")</f>
        <v>Adult</v>
      </c>
    </row>
    <row r="512" spans="1:15" x14ac:dyDescent="0.25">
      <c r="A512" s="1">
        <v>14819</v>
      </c>
      <c r="B512" s="1" t="s">
        <v>65</v>
      </c>
      <c r="C512" s="1" t="s">
        <v>56</v>
      </c>
      <c r="D512" s="1">
        <v>54</v>
      </c>
      <c r="E512" s="1">
        <v>36</v>
      </c>
      <c r="F512" s="1" t="s">
        <v>953</v>
      </c>
      <c r="G512" s="1" t="s">
        <v>35</v>
      </c>
      <c r="H512" s="1" t="s">
        <v>36</v>
      </c>
      <c r="I512" s="1" t="s">
        <v>51</v>
      </c>
      <c r="J512" s="1">
        <v>20</v>
      </c>
      <c r="K512" s="1" t="s">
        <v>42</v>
      </c>
      <c r="L512" s="3">
        <v>73440</v>
      </c>
      <c r="M512" s="3">
        <v>36720</v>
      </c>
      <c r="N512" s="1" t="s">
        <v>20</v>
      </c>
      <c r="O512" s="5" t="str" cm="1">
        <f t="array" ref="O512">_xlfn.IFS(Table1[[#This Row],[Age]]&lt;25,"Young",Table1[[#This Row],[Age]]&lt;45,"Adult",Table1[[#This Row],[Age]]&gt;=45,"Old")</f>
        <v>Old</v>
      </c>
    </row>
    <row r="513" spans="1:15" x14ac:dyDescent="0.25">
      <c r="A513" s="1">
        <v>2979</v>
      </c>
      <c r="B513" s="1" t="s">
        <v>187</v>
      </c>
      <c r="C513" s="1" t="s">
        <v>701</v>
      </c>
      <c r="D513" s="1">
        <v>54</v>
      </c>
      <c r="E513" s="1">
        <v>21</v>
      </c>
      <c r="F513" s="1" t="s">
        <v>954</v>
      </c>
      <c r="G513" s="1" t="s">
        <v>23</v>
      </c>
      <c r="H513" s="1" t="s">
        <v>36</v>
      </c>
      <c r="I513" s="1" t="s">
        <v>51</v>
      </c>
      <c r="J513" s="1">
        <v>16</v>
      </c>
      <c r="K513" s="1" t="s">
        <v>25</v>
      </c>
      <c r="L513" s="3">
        <v>98000</v>
      </c>
      <c r="M513" s="3">
        <v>39200</v>
      </c>
      <c r="N513" s="1" t="s">
        <v>20</v>
      </c>
      <c r="O513" s="5" t="str" cm="1">
        <f t="array" ref="O513">_xlfn.IFS(Table1[[#This Row],[Age]]&lt;25,"Young",Table1[[#This Row],[Age]]&lt;45,"Adult",Table1[[#This Row],[Age]]&gt;=45,"Old")</f>
        <v>Old</v>
      </c>
    </row>
    <row r="514" spans="1:15" x14ac:dyDescent="0.25">
      <c r="A514" s="1">
        <v>22452</v>
      </c>
      <c r="B514" s="1" t="s">
        <v>139</v>
      </c>
      <c r="C514" s="1" t="s">
        <v>61</v>
      </c>
      <c r="D514" s="1">
        <v>61</v>
      </c>
      <c r="E514" s="1">
        <v>40</v>
      </c>
      <c r="F514" s="1" t="s">
        <v>954</v>
      </c>
      <c r="G514" s="1" t="s">
        <v>23</v>
      </c>
      <c r="H514" s="1" t="s">
        <v>119</v>
      </c>
      <c r="I514" s="1" t="s">
        <v>51</v>
      </c>
      <c r="J514" s="1">
        <v>32</v>
      </c>
      <c r="K514" s="1" t="s">
        <v>52</v>
      </c>
      <c r="L514" s="3">
        <v>130000</v>
      </c>
      <c r="M514" s="3">
        <v>104000</v>
      </c>
      <c r="N514" s="1" t="s">
        <v>20</v>
      </c>
      <c r="O514" s="5" t="str" cm="1">
        <f t="array" ref="O514">_xlfn.IFS(Table1[[#This Row],[Age]]&lt;25,"Young",Table1[[#This Row],[Age]]&lt;45,"Adult",Table1[[#This Row],[Age]]&gt;=45,"Old")</f>
        <v>Old</v>
      </c>
    </row>
    <row r="515" spans="1:15" x14ac:dyDescent="0.25">
      <c r="A515" s="1">
        <v>11506</v>
      </c>
      <c r="B515" s="1" t="s">
        <v>702</v>
      </c>
      <c r="C515" s="1" t="s">
        <v>703</v>
      </c>
      <c r="D515" s="1">
        <v>34</v>
      </c>
      <c r="E515" s="1">
        <v>9</v>
      </c>
      <c r="F515" s="1" t="s">
        <v>953</v>
      </c>
      <c r="G515" s="1" t="s">
        <v>50</v>
      </c>
      <c r="H515" s="1" t="s">
        <v>24</v>
      </c>
      <c r="I515" s="1" t="s">
        <v>18</v>
      </c>
      <c r="J515" s="1">
        <v>40</v>
      </c>
      <c r="K515" s="1" t="s">
        <v>19</v>
      </c>
      <c r="L515" s="3">
        <v>138000</v>
      </c>
      <c r="M515" s="3">
        <v>138000</v>
      </c>
      <c r="N515" s="1" t="s">
        <v>26</v>
      </c>
      <c r="O515" s="5" t="str" cm="1">
        <f t="array" ref="O515">_xlfn.IFS(Table1[[#This Row],[Age]]&lt;25,"Young",Table1[[#This Row],[Age]]&lt;45,"Adult",Table1[[#This Row],[Age]]&gt;=45,"Old")</f>
        <v>Adult</v>
      </c>
    </row>
    <row r="516" spans="1:15" x14ac:dyDescent="0.25">
      <c r="A516" s="1">
        <v>21106</v>
      </c>
      <c r="B516" s="1" t="s">
        <v>704</v>
      </c>
      <c r="C516" s="1" t="s">
        <v>705</v>
      </c>
      <c r="D516" s="1">
        <v>34</v>
      </c>
      <c r="E516" s="1">
        <v>2</v>
      </c>
      <c r="F516" s="1" t="s">
        <v>954</v>
      </c>
      <c r="G516" s="1" t="s">
        <v>23</v>
      </c>
      <c r="H516" s="1" t="s">
        <v>36</v>
      </c>
      <c r="I516" s="1" t="s">
        <v>18</v>
      </c>
      <c r="J516" s="1">
        <v>40</v>
      </c>
      <c r="K516" s="1" t="s">
        <v>37</v>
      </c>
      <c r="L516" s="3">
        <v>88356</v>
      </c>
      <c r="M516" s="3">
        <v>88356</v>
      </c>
      <c r="N516" s="1" t="s">
        <v>26</v>
      </c>
      <c r="O516" s="5" t="str" cm="1">
        <f t="array" ref="O516">_xlfn.IFS(Table1[[#This Row],[Age]]&lt;25,"Young",Table1[[#This Row],[Age]]&lt;45,"Adult",Table1[[#This Row],[Age]]&gt;=45,"Old")</f>
        <v>Adult</v>
      </c>
    </row>
    <row r="517" spans="1:15" x14ac:dyDescent="0.25">
      <c r="A517" s="1">
        <v>10973</v>
      </c>
      <c r="B517" s="1" t="s">
        <v>391</v>
      </c>
      <c r="C517" s="1" t="s">
        <v>90</v>
      </c>
      <c r="D517" s="1">
        <v>46</v>
      </c>
      <c r="E517" s="1">
        <v>12</v>
      </c>
      <c r="F517" s="1" t="s">
        <v>953</v>
      </c>
      <c r="G517" s="1" t="s">
        <v>16</v>
      </c>
      <c r="H517" s="1" t="s">
        <v>17</v>
      </c>
      <c r="I517" s="1" t="s">
        <v>18</v>
      </c>
      <c r="J517" s="1">
        <v>40</v>
      </c>
      <c r="K517" s="1" t="s">
        <v>19</v>
      </c>
      <c r="L517" s="3">
        <v>138000</v>
      </c>
      <c r="M517" s="3">
        <v>138000</v>
      </c>
      <c r="N517" s="1" t="s">
        <v>29</v>
      </c>
      <c r="O517" s="5" t="str" cm="1">
        <f t="array" ref="O517">_xlfn.IFS(Table1[[#This Row],[Age]]&lt;25,"Young",Table1[[#This Row],[Age]]&lt;45,"Adult",Table1[[#This Row],[Age]]&gt;=45,"Old")</f>
        <v>Old</v>
      </c>
    </row>
    <row r="518" spans="1:15" x14ac:dyDescent="0.25">
      <c r="A518" s="1">
        <v>4770</v>
      </c>
      <c r="B518" s="1" t="s">
        <v>706</v>
      </c>
      <c r="C518" s="1" t="s">
        <v>707</v>
      </c>
      <c r="D518" s="1">
        <v>64</v>
      </c>
      <c r="E518" s="1">
        <v>2</v>
      </c>
      <c r="F518" s="1" t="s">
        <v>953</v>
      </c>
      <c r="G518" s="1" t="s">
        <v>16</v>
      </c>
      <c r="H518" s="1" t="s">
        <v>36</v>
      </c>
      <c r="I518" s="1" t="s">
        <v>18</v>
      </c>
      <c r="J518" s="1">
        <v>40</v>
      </c>
      <c r="K518" s="1" t="s">
        <v>25</v>
      </c>
      <c r="L518" s="3">
        <v>122000</v>
      </c>
      <c r="M518" s="3">
        <v>122000</v>
      </c>
      <c r="N518" s="1" t="s">
        <v>26</v>
      </c>
      <c r="O518" s="5" t="str" cm="1">
        <f t="array" ref="O518">_xlfn.IFS(Table1[[#This Row],[Age]]&lt;25,"Young",Table1[[#This Row],[Age]]&lt;45,"Adult",Table1[[#This Row],[Age]]&gt;=45,"Old")</f>
        <v>Old</v>
      </c>
    </row>
    <row r="519" spans="1:15" x14ac:dyDescent="0.25">
      <c r="A519" s="1">
        <v>10527</v>
      </c>
      <c r="B519" s="1" t="s">
        <v>708</v>
      </c>
      <c r="C519" s="1" t="s">
        <v>709</v>
      </c>
      <c r="D519" s="1">
        <v>28</v>
      </c>
      <c r="E519" s="1">
        <v>5</v>
      </c>
      <c r="F519" s="1" t="s">
        <v>954</v>
      </c>
      <c r="G519" s="1" t="s">
        <v>50</v>
      </c>
      <c r="H519" s="1" t="s">
        <v>36</v>
      </c>
      <c r="I519" s="1" t="s">
        <v>18</v>
      </c>
      <c r="J519" s="1">
        <v>20</v>
      </c>
      <c r="K519" s="1" t="s">
        <v>42</v>
      </c>
      <c r="L519" s="3">
        <v>68000</v>
      </c>
      <c r="M519" s="3">
        <v>34000</v>
      </c>
      <c r="N519" s="1" t="s">
        <v>29</v>
      </c>
      <c r="O519" s="5" t="str" cm="1">
        <f t="array" ref="O519">_xlfn.IFS(Table1[[#This Row],[Age]]&lt;25,"Young",Table1[[#This Row],[Age]]&lt;45,"Adult",Table1[[#This Row],[Age]]&gt;=45,"Old")</f>
        <v>Adult</v>
      </c>
    </row>
    <row r="520" spans="1:15" x14ac:dyDescent="0.25">
      <c r="A520" s="1">
        <v>17304</v>
      </c>
      <c r="B520" s="1" t="s">
        <v>710</v>
      </c>
      <c r="C520" s="1" t="s">
        <v>711</v>
      </c>
      <c r="D520" s="1">
        <v>54</v>
      </c>
      <c r="E520" s="1">
        <v>12</v>
      </c>
      <c r="F520" s="1" t="s">
        <v>954</v>
      </c>
      <c r="G520" s="1" t="s">
        <v>35</v>
      </c>
      <c r="H520" s="1" t="s">
        <v>17</v>
      </c>
      <c r="I520" s="1" t="s">
        <v>18</v>
      </c>
      <c r="J520" s="1">
        <v>32</v>
      </c>
      <c r="K520" s="1" t="s">
        <v>25</v>
      </c>
      <c r="L520" s="3">
        <v>98000</v>
      </c>
      <c r="M520" s="3">
        <v>78400</v>
      </c>
      <c r="N520" s="1" t="s">
        <v>29</v>
      </c>
      <c r="O520" s="5" t="str" cm="1">
        <f t="array" ref="O520">_xlfn.IFS(Table1[[#This Row],[Age]]&lt;25,"Young",Table1[[#This Row],[Age]]&lt;45,"Adult",Table1[[#This Row],[Age]]&gt;=45,"Old")</f>
        <v>Old</v>
      </c>
    </row>
    <row r="521" spans="1:15" x14ac:dyDescent="0.25">
      <c r="A521" s="1">
        <v>10821</v>
      </c>
      <c r="B521" s="1" t="s">
        <v>670</v>
      </c>
      <c r="C521" s="1" t="s">
        <v>712</v>
      </c>
      <c r="D521" s="1">
        <v>42</v>
      </c>
      <c r="E521" s="1">
        <v>13</v>
      </c>
      <c r="F521" s="1" t="s">
        <v>954</v>
      </c>
      <c r="G521" s="1" t="s">
        <v>50</v>
      </c>
      <c r="H521" s="1" t="s">
        <v>32</v>
      </c>
      <c r="I521" s="1" t="s">
        <v>18</v>
      </c>
      <c r="J521" s="1">
        <v>16</v>
      </c>
      <c r="K521" s="1" t="s">
        <v>42</v>
      </c>
      <c r="L521" s="3">
        <v>68203</v>
      </c>
      <c r="M521" s="3">
        <v>27281.200000000001</v>
      </c>
      <c r="N521" s="1" t="s">
        <v>29</v>
      </c>
      <c r="O521" s="5" t="str" cm="1">
        <f t="array" ref="O521">_xlfn.IFS(Table1[[#This Row],[Age]]&lt;25,"Young",Table1[[#This Row],[Age]]&lt;45,"Adult",Table1[[#This Row],[Age]]&gt;=45,"Old")</f>
        <v>Adult</v>
      </c>
    </row>
    <row r="522" spans="1:15" x14ac:dyDescent="0.25">
      <c r="A522" s="1">
        <v>22539</v>
      </c>
      <c r="B522" s="1" t="s">
        <v>713</v>
      </c>
      <c r="C522" s="1" t="s">
        <v>714</v>
      </c>
      <c r="D522" s="1">
        <v>36</v>
      </c>
      <c r="E522" s="1">
        <v>1</v>
      </c>
      <c r="F522" s="1" t="s">
        <v>953</v>
      </c>
      <c r="G522" s="1" t="s">
        <v>23</v>
      </c>
      <c r="H522" s="1" t="s">
        <v>36</v>
      </c>
      <c r="I522" s="1" t="s">
        <v>18</v>
      </c>
      <c r="J522" s="1">
        <v>40</v>
      </c>
      <c r="K522" s="1" t="s">
        <v>19</v>
      </c>
      <c r="L522" s="3">
        <v>138000</v>
      </c>
      <c r="M522" s="3">
        <v>138000</v>
      </c>
      <c r="N522" s="1" t="s">
        <v>26</v>
      </c>
      <c r="O522" s="5" t="str" cm="1">
        <f t="array" ref="O522">_xlfn.IFS(Table1[[#This Row],[Age]]&lt;25,"Young",Table1[[#This Row],[Age]]&lt;45,"Adult",Table1[[#This Row],[Age]]&gt;=45,"Old")</f>
        <v>Adult</v>
      </c>
    </row>
    <row r="523" spans="1:15" x14ac:dyDescent="0.25">
      <c r="A523" s="1">
        <v>14069</v>
      </c>
      <c r="B523" s="1" t="s">
        <v>106</v>
      </c>
      <c r="C523" s="1" t="s">
        <v>715</v>
      </c>
      <c r="D523" s="1">
        <v>42</v>
      </c>
      <c r="E523" s="1">
        <v>10</v>
      </c>
      <c r="F523" s="1" t="s">
        <v>953</v>
      </c>
      <c r="G523" s="1" t="s">
        <v>23</v>
      </c>
      <c r="H523" s="1" t="s">
        <v>32</v>
      </c>
      <c r="I523" s="1" t="s">
        <v>18</v>
      </c>
      <c r="J523" s="1">
        <v>40</v>
      </c>
      <c r="K523" s="1" t="s">
        <v>25</v>
      </c>
      <c r="L523" s="3">
        <v>106646</v>
      </c>
      <c r="M523" s="3">
        <v>106646</v>
      </c>
      <c r="N523" s="1" t="s">
        <v>29</v>
      </c>
      <c r="O523" s="5" t="str" cm="1">
        <f t="array" ref="O523">_xlfn.IFS(Table1[[#This Row],[Age]]&lt;25,"Young",Table1[[#This Row],[Age]]&lt;45,"Adult",Table1[[#This Row],[Age]]&gt;=45,"Old")</f>
        <v>Adult</v>
      </c>
    </row>
    <row r="524" spans="1:15" x14ac:dyDescent="0.25">
      <c r="A524" s="1">
        <v>11375</v>
      </c>
      <c r="B524" s="1" t="s">
        <v>716</v>
      </c>
      <c r="C524" s="1" t="s">
        <v>717</v>
      </c>
      <c r="D524" s="1">
        <v>35</v>
      </c>
      <c r="E524" s="1">
        <v>3</v>
      </c>
      <c r="F524" s="1" t="s">
        <v>954</v>
      </c>
      <c r="G524" s="1" t="s">
        <v>50</v>
      </c>
      <c r="H524" s="1" t="s">
        <v>36</v>
      </c>
      <c r="I524" s="1" t="s">
        <v>18</v>
      </c>
      <c r="J524" s="1">
        <v>40</v>
      </c>
      <c r="K524" s="1" t="s">
        <v>25</v>
      </c>
      <c r="L524" s="3">
        <v>98000</v>
      </c>
      <c r="M524" s="3">
        <v>98000</v>
      </c>
      <c r="N524" s="1" t="s">
        <v>29</v>
      </c>
      <c r="O524" s="5" t="str" cm="1">
        <f t="array" ref="O524">_xlfn.IFS(Table1[[#This Row],[Age]]&lt;25,"Young",Table1[[#This Row],[Age]]&lt;45,"Adult",Table1[[#This Row],[Age]]&gt;=45,"Old")</f>
        <v>Adult</v>
      </c>
    </row>
    <row r="525" spans="1:15" x14ac:dyDescent="0.25">
      <c r="A525" s="1">
        <v>13872</v>
      </c>
      <c r="B525" s="1" t="s">
        <v>106</v>
      </c>
      <c r="C525" s="1" t="s">
        <v>718</v>
      </c>
      <c r="D525" s="1">
        <v>56</v>
      </c>
      <c r="E525" s="1">
        <v>18</v>
      </c>
      <c r="F525" s="1" t="s">
        <v>953</v>
      </c>
      <c r="G525" s="1" t="s">
        <v>35</v>
      </c>
      <c r="H525" s="1" t="s">
        <v>36</v>
      </c>
      <c r="I525" s="1" t="s">
        <v>18</v>
      </c>
      <c r="J525" s="1">
        <v>32</v>
      </c>
      <c r="K525" s="1" t="s">
        <v>42</v>
      </c>
      <c r="L525" s="3">
        <v>79700</v>
      </c>
      <c r="M525" s="3">
        <v>63760</v>
      </c>
      <c r="N525" s="1" t="s">
        <v>20</v>
      </c>
      <c r="O525" s="5" t="str" cm="1">
        <f t="array" ref="O525">_xlfn.IFS(Table1[[#This Row],[Age]]&lt;25,"Young",Table1[[#This Row],[Age]]&lt;45,"Adult",Table1[[#This Row],[Age]]&gt;=45,"Old")</f>
        <v>Old</v>
      </c>
    </row>
    <row r="526" spans="1:15" x14ac:dyDescent="0.25">
      <c r="A526" s="1">
        <v>10375</v>
      </c>
      <c r="B526" s="1" t="s">
        <v>719</v>
      </c>
      <c r="C526" s="1" t="s">
        <v>720</v>
      </c>
      <c r="D526" s="1">
        <v>45</v>
      </c>
      <c r="E526" s="1">
        <v>27</v>
      </c>
      <c r="F526" s="1" t="s">
        <v>953</v>
      </c>
      <c r="G526" s="1" t="s">
        <v>45</v>
      </c>
      <c r="H526" s="1" t="s">
        <v>17</v>
      </c>
      <c r="I526" s="1" t="s">
        <v>51</v>
      </c>
      <c r="J526" s="1">
        <v>20</v>
      </c>
      <c r="K526" s="1" t="s">
        <v>19</v>
      </c>
      <c r="L526" s="3">
        <v>125195</v>
      </c>
      <c r="M526" s="3">
        <v>62597.5</v>
      </c>
      <c r="N526" s="1" t="s">
        <v>29</v>
      </c>
      <c r="O526" s="5" t="str" cm="1">
        <f t="array" ref="O526">_xlfn.IFS(Table1[[#This Row],[Age]]&lt;25,"Young",Table1[[#This Row],[Age]]&lt;45,"Adult",Table1[[#This Row],[Age]]&gt;=45,"Old")</f>
        <v>Old</v>
      </c>
    </row>
    <row r="527" spans="1:15" x14ac:dyDescent="0.25">
      <c r="A527" s="1">
        <v>18853</v>
      </c>
      <c r="B527" s="1" t="s">
        <v>721</v>
      </c>
      <c r="C527" s="1" t="s">
        <v>722</v>
      </c>
      <c r="D527" s="1">
        <v>34</v>
      </c>
      <c r="E527" s="1">
        <v>13</v>
      </c>
      <c r="F527" s="1" t="s">
        <v>953</v>
      </c>
      <c r="G527" s="1" t="s">
        <v>23</v>
      </c>
      <c r="H527" s="1" t="s">
        <v>24</v>
      </c>
      <c r="I527" s="1" t="s">
        <v>18</v>
      </c>
      <c r="J527" s="1">
        <v>40</v>
      </c>
      <c r="K527" s="1" t="s">
        <v>25</v>
      </c>
      <c r="L527" s="3">
        <v>121217</v>
      </c>
      <c r="M527" s="3">
        <v>121217</v>
      </c>
      <c r="N527" s="1" t="s">
        <v>26</v>
      </c>
      <c r="O527" s="5" t="str" cm="1">
        <f t="array" ref="O527">_xlfn.IFS(Table1[[#This Row],[Age]]&lt;25,"Young",Table1[[#This Row],[Age]]&lt;45,"Adult",Table1[[#This Row],[Age]]&gt;=45,"Old")</f>
        <v>Adult</v>
      </c>
    </row>
    <row r="528" spans="1:15" x14ac:dyDescent="0.25">
      <c r="A528" s="1">
        <v>21639</v>
      </c>
      <c r="B528" s="1" t="s">
        <v>14</v>
      </c>
      <c r="C528" s="1" t="s">
        <v>15</v>
      </c>
      <c r="D528" s="1">
        <v>32</v>
      </c>
      <c r="E528" s="1">
        <v>2</v>
      </c>
      <c r="F528" s="1" t="s">
        <v>954</v>
      </c>
      <c r="G528" s="1" t="s">
        <v>16</v>
      </c>
      <c r="H528" s="1" t="s">
        <v>24</v>
      </c>
      <c r="I528" s="1" t="s">
        <v>18</v>
      </c>
      <c r="J528" s="1">
        <v>20</v>
      </c>
      <c r="K528" s="1" t="s">
        <v>19</v>
      </c>
      <c r="L528" s="3">
        <v>118086</v>
      </c>
      <c r="M528" s="3">
        <v>59043</v>
      </c>
      <c r="N528" s="1" t="s">
        <v>20</v>
      </c>
      <c r="O528" s="5" t="str" cm="1">
        <f t="array" ref="O528">_xlfn.IFS(Table1[[#This Row],[Age]]&lt;25,"Young",Table1[[#This Row],[Age]]&lt;45,"Adult",Table1[[#This Row],[Age]]&gt;=45,"Old")</f>
        <v>Adult</v>
      </c>
    </row>
    <row r="529" spans="1:15" x14ac:dyDescent="0.25">
      <c r="A529" s="1">
        <v>4857</v>
      </c>
      <c r="B529" s="1" t="s">
        <v>617</v>
      </c>
      <c r="C529" s="1" t="s">
        <v>723</v>
      </c>
      <c r="D529" s="1">
        <v>49</v>
      </c>
      <c r="E529" s="1">
        <v>18</v>
      </c>
      <c r="F529" s="1" t="s">
        <v>953</v>
      </c>
      <c r="G529" s="1" t="s">
        <v>45</v>
      </c>
      <c r="H529" s="1" t="s">
        <v>24</v>
      </c>
      <c r="I529" s="1" t="s">
        <v>18</v>
      </c>
      <c r="J529" s="1">
        <v>40</v>
      </c>
      <c r="K529" s="1" t="s">
        <v>37</v>
      </c>
      <c r="L529" s="3">
        <v>103090</v>
      </c>
      <c r="M529" s="3">
        <v>103090</v>
      </c>
      <c r="N529" s="1" t="s">
        <v>26</v>
      </c>
      <c r="O529" s="5" t="str" cm="1">
        <f t="array" ref="O529">_xlfn.IFS(Table1[[#This Row],[Age]]&lt;25,"Young",Table1[[#This Row],[Age]]&lt;45,"Adult",Table1[[#This Row],[Age]]&gt;=45,"Old")</f>
        <v>Old</v>
      </c>
    </row>
    <row r="530" spans="1:15" x14ac:dyDescent="0.25">
      <c r="A530" s="1">
        <v>6973</v>
      </c>
      <c r="B530" s="1" t="s">
        <v>724</v>
      </c>
      <c r="C530" s="1" t="s">
        <v>725</v>
      </c>
      <c r="D530" s="1">
        <v>46</v>
      </c>
      <c r="E530" s="1">
        <v>11</v>
      </c>
      <c r="F530" s="1" t="s">
        <v>953</v>
      </c>
      <c r="G530" s="1" t="s">
        <v>45</v>
      </c>
      <c r="H530" s="1" t="s">
        <v>32</v>
      </c>
      <c r="I530" s="1" t="s">
        <v>18</v>
      </c>
      <c r="J530" s="1">
        <v>40</v>
      </c>
      <c r="K530" s="1" t="s">
        <v>25</v>
      </c>
      <c r="L530" s="3">
        <v>119761</v>
      </c>
      <c r="M530" s="3">
        <v>119761</v>
      </c>
      <c r="N530" s="1" t="s">
        <v>26</v>
      </c>
      <c r="O530" s="5" t="str" cm="1">
        <f t="array" ref="O530">_xlfn.IFS(Table1[[#This Row],[Age]]&lt;25,"Young",Table1[[#This Row],[Age]]&lt;45,"Adult",Table1[[#This Row],[Age]]&gt;=45,"Old")</f>
        <v>Old</v>
      </c>
    </row>
    <row r="531" spans="1:15" x14ac:dyDescent="0.25">
      <c r="A531" s="1">
        <v>14464</v>
      </c>
      <c r="B531" s="1" t="s">
        <v>479</v>
      </c>
      <c r="C531" s="1" t="s">
        <v>128</v>
      </c>
      <c r="D531" s="1">
        <v>42</v>
      </c>
      <c r="E531" s="1">
        <v>9</v>
      </c>
      <c r="F531" s="1" t="s">
        <v>954</v>
      </c>
      <c r="G531" s="1" t="s">
        <v>16</v>
      </c>
      <c r="H531" s="1" t="s">
        <v>32</v>
      </c>
      <c r="I531" s="1" t="s">
        <v>51</v>
      </c>
      <c r="J531" s="1">
        <v>40</v>
      </c>
      <c r="K531" s="1" t="s">
        <v>25</v>
      </c>
      <c r="L531" s="3">
        <v>104615</v>
      </c>
      <c r="M531" s="3">
        <v>104615</v>
      </c>
      <c r="N531" s="1" t="s">
        <v>20</v>
      </c>
      <c r="O531" s="5" t="str" cm="1">
        <f t="array" ref="O531">_xlfn.IFS(Table1[[#This Row],[Age]]&lt;25,"Young",Table1[[#This Row],[Age]]&lt;45,"Adult",Table1[[#This Row],[Age]]&gt;=45,"Old")</f>
        <v>Adult</v>
      </c>
    </row>
    <row r="532" spans="1:15" x14ac:dyDescent="0.25">
      <c r="A532" s="1">
        <v>22475</v>
      </c>
      <c r="B532" s="1" t="s">
        <v>69</v>
      </c>
      <c r="C532" s="1" t="s">
        <v>726</v>
      </c>
      <c r="D532" s="1">
        <v>38</v>
      </c>
      <c r="E532" s="1">
        <v>12</v>
      </c>
      <c r="F532" s="1" t="s">
        <v>954</v>
      </c>
      <c r="G532" s="1" t="s">
        <v>45</v>
      </c>
      <c r="H532" s="1" t="s">
        <v>17</v>
      </c>
      <c r="I532" s="1" t="s">
        <v>18</v>
      </c>
      <c r="J532" s="1">
        <v>20</v>
      </c>
      <c r="K532" s="1" t="s">
        <v>25</v>
      </c>
      <c r="L532" s="3">
        <v>98346</v>
      </c>
      <c r="M532" s="3">
        <v>49173</v>
      </c>
      <c r="N532" s="1" t="s">
        <v>20</v>
      </c>
      <c r="O532" s="5" t="str" cm="1">
        <f t="array" ref="O532">_xlfn.IFS(Table1[[#This Row],[Age]]&lt;25,"Young",Table1[[#This Row],[Age]]&lt;45,"Adult",Table1[[#This Row],[Age]]&gt;=45,"Old")</f>
        <v>Adult</v>
      </c>
    </row>
    <row r="533" spans="1:15" x14ac:dyDescent="0.25">
      <c r="A533" s="1">
        <v>13110</v>
      </c>
      <c r="B533" s="1" t="s">
        <v>206</v>
      </c>
      <c r="C533" s="1" t="s">
        <v>727</v>
      </c>
      <c r="D533" s="1">
        <v>36</v>
      </c>
      <c r="E533" s="1">
        <v>7</v>
      </c>
      <c r="F533" s="1" t="s">
        <v>954</v>
      </c>
      <c r="G533" s="1" t="s">
        <v>23</v>
      </c>
      <c r="H533" s="1" t="s">
        <v>36</v>
      </c>
      <c r="I533" s="1" t="s">
        <v>18</v>
      </c>
      <c r="J533" s="1">
        <v>20</v>
      </c>
      <c r="K533" s="1" t="s">
        <v>37</v>
      </c>
      <c r="L533" s="3">
        <v>85000</v>
      </c>
      <c r="M533" s="3">
        <v>42500</v>
      </c>
      <c r="N533" s="1" t="s">
        <v>20</v>
      </c>
      <c r="O533" s="5" t="str" cm="1">
        <f t="array" ref="O533">_xlfn.IFS(Table1[[#This Row],[Age]]&lt;25,"Young",Table1[[#This Row],[Age]]&lt;45,"Adult",Table1[[#This Row],[Age]]&gt;=45,"Old")</f>
        <v>Adult</v>
      </c>
    </row>
    <row r="534" spans="1:15" x14ac:dyDescent="0.25">
      <c r="A534" s="1">
        <v>6389</v>
      </c>
      <c r="B534" s="1" t="s">
        <v>522</v>
      </c>
      <c r="C534" s="1" t="s">
        <v>148</v>
      </c>
      <c r="D534" s="1">
        <v>22</v>
      </c>
      <c r="E534" s="1">
        <v>2</v>
      </c>
      <c r="F534" s="1" t="s">
        <v>954</v>
      </c>
      <c r="G534" s="1" t="s">
        <v>35</v>
      </c>
      <c r="H534" s="1" t="s">
        <v>24</v>
      </c>
      <c r="I534" s="1" t="s">
        <v>18</v>
      </c>
      <c r="J534" s="1">
        <v>32</v>
      </c>
      <c r="K534" s="1" t="s">
        <v>25</v>
      </c>
      <c r="L534" s="3">
        <v>98000</v>
      </c>
      <c r="M534" s="3">
        <v>78400</v>
      </c>
      <c r="N534" s="1" t="s">
        <v>20</v>
      </c>
      <c r="O534" s="5" t="str" cm="1">
        <f t="array" ref="O534">_xlfn.IFS(Table1[[#This Row],[Age]]&lt;25,"Young",Table1[[#This Row],[Age]]&lt;45,"Adult",Table1[[#This Row],[Age]]&gt;=45,"Old")</f>
        <v>Young</v>
      </c>
    </row>
    <row r="535" spans="1:15" x14ac:dyDescent="0.25">
      <c r="A535" s="1">
        <v>20856</v>
      </c>
      <c r="B535" s="1" t="s">
        <v>728</v>
      </c>
      <c r="C535" s="1" t="s">
        <v>729</v>
      </c>
      <c r="D535" s="1">
        <v>50</v>
      </c>
      <c r="E535" s="1">
        <v>8</v>
      </c>
      <c r="F535" s="1" t="s">
        <v>954</v>
      </c>
      <c r="G535" s="1" t="s">
        <v>35</v>
      </c>
      <c r="H535" s="1" t="s">
        <v>24</v>
      </c>
      <c r="I535" s="1" t="s">
        <v>18</v>
      </c>
      <c r="J535" s="1">
        <v>20</v>
      </c>
      <c r="K535" s="1" t="s">
        <v>19</v>
      </c>
      <c r="L535" s="3">
        <v>115000</v>
      </c>
      <c r="M535" s="3">
        <v>57500</v>
      </c>
      <c r="N535" s="1" t="s">
        <v>29</v>
      </c>
      <c r="O535" s="5" t="str" cm="1">
        <f t="array" ref="O535">_xlfn.IFS(Table1[[#This Row],[Age]]&lt;25,"Young",Table1[[#This Row],[Age]]&lt;45,"Adult",Table1[[#This Row],[Age]]&gt;=45,"Old")</f>
        <v>Old</v>
      </c>
    </row>
    <row r="536" spans="1:15" x14ac:dyDescent="0.25">
      <c r="A536" s="1">
        <v>19335</v>
      </c>
      <c r="B536" s="1" t="s">
        <v>131</v>
      </c>
      <c r="C536" s="1" t="s">
        <v>99</v>
      </c>
      <c r="D536" s="1">
        <v>59</v>
      </c>
      <c r="E536" s="1">
        <v>33</v>
      </c>
      <c r="F536" s="1" t="s">
        <v>954</v>
      </c>
      <c r="G536" s="1" t="s">
        <v>45</v>
      </c>
      <c r="H536" s="1" t="s">
        <v>17</v>
      </c>
      <c r="I536" s="1" t="s">
        <v>51</v>
      </c>
      <c r="J536" s="1">
        <v>40</v>
      </c>
      <c r="K536" s="1" t="s">
        <v>52</v>
      </c>
      <c r="L536" s="3">
        <v>130000</v>
      </c>
      <c r="M536" s="3">
        <v>130000</v>
      </c>
      <c r="N536" s="1" t="s">
        <v>20</v>
      </c>
      <c r="O536" s="5" t="str" cm="1">
        <f t="array" ref="O536">_xlfn.IFS(Table1[[#This Row],[Age]]&lt;25,"Young",Table1[[#This Row],[Age]]&lt;45,"Adult",Table1[[#This Row],[Age]]&gt;=45,"Old")</f>
        <v>Old</v>
      </c>
    </row>
    <row r="537" spans="1:15" x14ac:dyDescent="0.25">
      <c r="A537" s="1">
        <v>10548</v>
      </c>
      <c r="B537" s="1" t="s">
        <v>241</v>
      </c>
      <c r="C537" s="1" t="s">
        <v>730</v>
      </c>
      <c r="D537" s="1">
        <v>52</v>
      </c>
      <c r="E537" s="1">
        <v>6</v>
      </c>
      <c r="F537" s="1" t="s">
        <v>954</v>
      </c>
      <c r="G537" s="1" t="s">
        <v>50</v>
      </c>
      <c r="H537" s="1" t="s">
        <v>64</v>
      </c>
      <c r="I537" s="1" t="s">
        <v>51</v>
      </c>
      <c r="J537" s="1">
        <v>20</v>
      </c>
      <c r="K537" s="1" t="s">
        <v>25</v>
      </c>
      <c r="L537" s="3">
        <v>98000</v>
      </c>
      <c r="M537" s="3">
        <v>49000</v>
      </c>
      <c r="N537" s="1" t="s">
        <v>29</v>
      </c>
      <c r="O537" s="5" t="str" cm="1">
        <f t="array" ref="O537">_xlfn.IFS(Table1[[#This Row],[Age]]&lt;25,"Young",Table1[[#This Row],[Age]]&lt;45,"Adult",Table1[[#This Row],[Age]]&gt;=45,"Old")</f>
        <v>Old</v>
      </c>
    </row>
    <row r="538" spans="1:15" x14ac:dyDescent="0.25">
      <c r="A538" s="1">
        <v>13993</v>
      </c>
      <c r="B538" s="1" t="s">
        <v>731</v>
      </c>
      <c r="C538" s="1" t="s">
        <v>79</v>
      </c>
      <c r="D538" s="1">
        <v>50</v>
      </c>
      <c r="E538" s="1">
        <v>9</v>
      </c>
      <c r="F538" s="1" t="s">
        <v>954</v>
      </c>
      <c r="G538" s="1" t="s">
        <v>50</v>
      </c>
      <c r="H538" s="1" t="s">
        <v>36</v>
      </c>
      <c r="I538" s="1" t="s">
        <v>18</v>
      </c>
      <c r="J538" s="1">
        <v>40</v>
      </c>
      <c r="K538" s="1" t="s">
        <v>25</v>
      </c>
      <c r="L538" s="3">
        <v>104260</v>
      </c>
      <c r="M538" s="3">
        <v>104260</v>
      </c>
      <c r="N538" s="1" t="s">
        <v>29</v>
      </c>
      <c r="O538" s="5" t="str" cm="1">
        <f t="array" ref="O538">_xlfn.IFS(Table1[[#This Row],[Age]]&lt;25,"Young",Table1[[#This Row],[Age]]&lt;45,"Adult",Table1[[#This Row],[Age]]&gt;=45,"Old")</f>
        <v>Old</v>
      </c>
    </row>
    <row r="539" spans="1:15" x14ac:dyDescent="0.25">
      <c r="A539" s="1">
        <v>18641</v>
      </c>
      <c r="B539" s="1" t="s">
        <v>732</v>
      </c>
      <c r="C539" s="1" t="s">
        <v>733</v>
      </c>
      <c r="D539" s="1">
        <v>34</v>
      </c>
      <c r="E539" s="1">
        <v>12</v>
      </c>
      <c r="F539" s="1" t="s">
        <v>954</v>
      </c>
      <c r="G539" s="1" t="s">
        <v>35</v>
      </c>
      <c r="H539" s="1" t="s">
        <v>24</v>
      </c>
      <c r="I539" s="1" t="s">
        <v>18</v>
      </c>
      <c r="J539" s="1">
        <v>16</v>
      </c>
      <c r="K539" s="1" t="s">
        <v>37</v>
      </c>
      <c r="L539" s="3">
        <v>85000</v>
      </c>
      <c r="M539" s="3">
        <v>34000</v>
      </c>
      <c r="N539" s="1" t="s">
        <v>20</v>
      </c>
      <c r="O539" s="5" t="str" cm="1">
        <f t="array" ref="O539">_xlfn.IFS(Table1[[#This Row],[Age]]&lt;25,"Young",Table1[[#This Row],[Age]]&lt;45,"Adult",Table1[[#This Row],[Age]]&gt;=45,"Old")</f>
        <v>Adult</v>
      </c>
    </row>
    <row r="540" spans="1:15" x14ac:dyDescent="0.25">
      <c r="A540" s="1">
        <v>700</v>
      </c>
      <c r="B540" s="1" t="s">
        <v>46</v>
      </c>
      <c r="C540" s="1" t="s">
        <v>734</v>
      </c>
      <c r="D540" s="1">
        <v>39</v>
      </c>
      <c r="E540" s="1">
        <v>18</v>
      </c>
      <c r="F540" s="1" t="s">
        <v>953</v>
      </c>
      <c r="G540" s="1" t="s">
        <v>50</v>
      </c>
      <c r="H540" s="1" t="s">
        <v>36</v>
      </c>
      <c r="I540" s="1" t="s">
        <v>18</v>
      </c>
      <c r="J540" s="1">
        <v>40</v>
      </c>
      <c r="K540" s="1" t="s">
        <v>37</v>
      </c>
      <c r="L540" s="3">
        <v>101614</v>
      </c>
      <c r="M540" s="3">
        <v>101614</v>
      </c>
      <c r="N540" s="1" t="s">
        <v>26</v>
      </c>
      <c r="O540" s="5" t="str" cm="1">
        <f t="array" ref="O540">_xlfn.IFS(Table1[[#This Row],[Age]]&lt;25,"Young",Table1[[#This Row],[Age]]&lt;45,"Adult",Table1[[#This Row],[Age]]&gt;=45,"Old")</f>
        <v>Adult</v>
      </c>
    </row>
    <row r="541" spans="1:15" x14ac:dyDescent="0.25">
      <c r="A541" s="1">
        <v>10169</v>
      </c>
      <c r="B541" s="1" t="s">
        <v>146</v>
      </c>
      <c r="C541" s="1" t="s">
        <v>31</v>
      </c>
      <c r="D541" s="1">
        <v>42</v>
      </c>
      <c r="E541" s="1">
        <v>5</v>
      </c>
      <c r="F541" s="1" t="s">
        <v>954</v>
      </c>
      <c r="G541" s="1" t="s">
        <v>16</v>
      </c>
      <c r="H541" s="1" t="s">
        <v>17</v>
      </c>
      <c r="I541" s="1" t="s">
        <v>18</v>
      </c>
      <c r="J541" s="1">
        <v>20</v>
      </c>
      <c r="K541" s="1" t="s">
        <v>25</v>
      </c>
      <c r="L541" s="3">
        <v>98000</v>
      </c>
      <c r="M541" s="3">
        <v>49000</v>
      </c>
      <c r="N541" s="1" t="s">
        <v>29</v>
      </c>
      <c r="O541" s="5" t="str" cm="1">
        <f t="array" ref="O541">_xlfn.IFS(Table1[[#This Row],[Age]]&lt;25,"Young",Table1[[#This Row],[Age]]&lt;45,"Adult",Table1[[#This Row],[Age]]&gt;=45,"Old")</f>
        <v>Adult</v>
      </c>
    </row>
    <row r="542" spans="1:15" x14ac:dyDescent="0.25">
      <c r="A542" s="1">
        <v>10644</v>
      </c>
      <c r="B542" s="1" t="s">
        <v>735</v>
      </c>
      <c r="C542" s="1" t="s">
        <v>736</v>
      </c>
      <c r="D542" s="1">
        <v>29</v>
      </c>
      <c r="E542" s="1">
        <v>1</v>
      </c>
      <c r="F542" s="1" t="s">
        <v>954</v>
      </c>
      <c r="G542" s="1" t="s">
        <v>35</v>
      </c>
      <c r="H542" s="1" t="s">
        <v>24</v>
      </c>
      <c r="I542" s="1" t="s">
        <v>18</v>
      </c>
      <c r="J542" s="1">
        <v>20</v>
      </c>
      <c r="K542" s="1" t="s">
        <v>37</v>
      </c>
      <c r="L542" s="3">
        <v>85116</v>
      </c>
      <c r="M542" s="3">
        <v>42558</v>
      </c>
      <c r="N542" s="1" t="s">
        <v>29</v>
      </c>
      <c r="O542" s="5" t="str" cm="1">
        <f t="array" ref="O542">_xlfn.IFS(Table1[[#This Row],[Age]]&lt;25,"Young",Table1[[#This Row],[Age]]&lt;45,"Adult",Table1[[#This Row],[Age]]&gt;=45,"Old")</f>
        <v>Adult</v>
      </c>
    </row>
    <row r="543" spans="1:15" x14ac:dyDescent="0.25">
      <c r="A543" s="1">
        <v>10088</v>
      </c>
      <c r="B543" s="1" t="s">
        <v>251</v>
      </c>
      <c r="C543" s="1" t="s">
        <v>737</v>
      </c>
      <c r="D543" s="1">
        <v>57</v>
      </c>
      <c r="E543" s="1">
        <v>3</v>
      </c>
      <c r="F543" s="1" t="s">
        <v>953</v>
      </c>
      <c r="G543" s="1" t="s">
        <v>23</v>
      </c>
      <c r="H543" s="1" t="s">
        <v>24</v>
      </c>
      <c r="I543" s="1" t="s">
        <v>18</v>
      </c>
      <c r="J543" s="1">
        <v>40</v>
      </c>
      <c r="K543" s="1" t="s">
        <v>37</v>
      </c>
      <c r="L543" s="3">
        <v>102050</v>
      </c>
      <c r="M543" s="3">
        <v>102050</v>
      </c>
      <c r="N543" s="1" t="s">
        <v>26</v>
      </c>
      <c r="O543" s="5" t="str" cm="1">
        <f t="array" ref="O543">_xlfn.IFS(Table1[[#This Row],[Age]]&lt;25,"Young",Table1[[#This Row],[Age]]&lt;45,"Adult",Table1[[#This Row],[Age]]&gt;=45,"Old")</f>
        <v>Old</v>
      </c>
    </row>
    <row r="544" spans="1:15" x14ac:dyDescent="0.25">
      <c r="A544" s="1">
        <v>7574</v>
      </c>
      <c r="B544" s="1" t="s">
        <v>377</v>
      </c>
      <c r="C544" s="1" t="s">
        <v>738</v>
      </c>
      <c r="D544" s="1">
        <v>21</v>
      </c>
      <c r="E544" s="1">
        <v>1</v>
      </c>
      <c r="F544" s="1" t="s">
        <v>953</v>
      </c>
      <c r="G544" s="1" t="s">
        <v>16</v>
      </c>
      <c r="H544" s="1" t="s">
        <v>24</v>
      </c>
      <c r="I544" s="1" t="s">
        <v>18</v>
      </c>
      <c r="J544" s="1">
        <v>20</v>
      </c>
      <c r="K544" s="1" t="s">
        <v>19</v>
      </c>
      <c r="L544" s="3">
        <v>138000</v>
      </c>
      <c r="M544" s="3">
        <v>69000</v>
      </c>
      <c r="N544" s="1" t="s">
        <v>26</v>
      </c>
      <c r="O544" s="5" t="str" cm="1">
        <f t="array" ref="O544">_xlfn.IFS(Table1[[#This Row],[Age]]&lt;25,"Young",Table1[[#This Row],[Age]]&lt;45,"Adult",Table1[[#This Row],[Age]]&gt;=45,"Old")</f>
        <v>Young</v>
      </c>
    </row>
    <row r="545" spans="1:15" x14ac:dyDescent="0.25">
      <c r="A545" s="1">
        <v>14773</v>
      </c>
      <c r="B545" s="1" t="s">
        <v>739</v>
      </c>
      <c r="C545" s="1" t="s">
        <v>501</v>
      </c>
      <c r="D545" s="1">
        <v>42</v>
      </c>
      <c r="E545" s="1">
        <v>20</v>
      </c>
      <c r="F545" s="1" t="s">
        <v>954</v>
      </c>
      <c r="G545" s="1" t="s">
        <v>50</v>
      </c>
      <c r="H545" s="1" t="s">
        <v>192</v>
      </c>
      <c r="I545" s="1" t="s">
        <v>18</v>
      </c>
      <c r="J545" s="1">
        <v>16</v>
      </c>
      <c r="K545" s="1" t="s">
        <v>37</v>
      </c>
      <c r="L545" s="3">
        <v>86880</v>
      </c>
      <c r="M545" s="3">
        <v>34752</v>
      </c>
      <c r="N545" s="1" t="s">
        <v>20</v>
      </c>
      <c r="O545" s="5" t="str" cm="1">
        <f t="array" ref="O545">_xlfn.IFS(Table1[[#This Row],[Age]]&lt;25,"Young",Table1[[#This Row],[Age]]&lt;45,"Adult",Table1[[#This Row],[Age]]&gt;=45,"Old")</f>
        <v>Adult</v>
      </c>
    </row>
    <row r="546" spans="1:15" x14ac:dyDescent="0.25">
      <c r="A546" s="1">
        <v>19691</v>
      </c>
      <c r="B546" s="1" t="s">
        <v>740</v>
      </c>
      <c r="C546" s="1" t="s">
        <v>741</v>
      </c>
      <c r="D546" s="1">
        <v>33</v>
      </c>
      <c r="E546" s="1">
        <v>9</v>
      </c>
      <c r="F546" s="1" t="s">
        <v>954</v>
      </c>
      <c r="G546" s="1" t="s">
        <v>45</v>
      </c>
      <c r="H546" s="1" t="s">
        <v>24</v>
      </c>
      <c r="I546" s="1" t="s">
        <v>18</v>
      </c>
      <c r="J546" s="1">
        <v>40</v>
      </c>
      <c r="K546" s="1" t="s">
        <v>37</v>
      </c>
      <c r="L546" s="3">
        <v>85000</v>
      </c>
      <c r="M546" s="3">
        <v>85000</v>
      </c>
      <c r="N546" s="1" t="s">
        <v>29</v>
      </c>
      <c r="O546" s="5" t="str" cm="1">
        <f t="array" ref="O546">_xlfn.IFS(Table1[[#This Row],[Age]]&lt;25,"Young",Table1[[#This Row],[Age]]&lt;45,"Adult",Table1[[#This Row],[Age]]&gt;=45,"Old")</f>
        <v>Adult</v>
      </c>
    </row>
    <row r="547" spans="1:15" x14ac:dyDescent="0.25">
      <c r="A547" s="1">
        <v>20566</v>
      </c>
      <c r="B547" s="1" t="s">
        <v>93</v>
      </c>
      <c r="C547" s="1" t="s">
        <v>236</v>
      </c>
      <c r="D547" s="1">
        <v>46</v>
      </c>
      <c r="E547" s="1">
        <v>2</v>
      </c>
      <c r="F547" s="1" t="s">
        <v>953</v>
      </c>
      <c r="G547" s="1" t="s">
        <v>35</v>
      </c>
      <c r="H547" s="1" t="s">
        <v>24</v>
      </c>
      <c r="I547" s="1" t="s">
        <v>18</v>
      </c>
      <c r="J547" s="1">
        <v>16</v>
      </c>
      <c r="K547" s="1" t="s">
        <v>37</v>
      </c>
      <c r="L547" s="3">
        <v>91800</v>
      </c>
      <c r="M547" s="3">
        <v>36720</v>
      </c>
      <c r="N547" s="1" t="s">
        <v>29</v>
      </c>
      <c r="O547" s="5" t="str" cm="1">
        <f t="array" ref="O547">_xlfn.IFS(Table1[[#This Row],[Age]]&lt;25,"Young",Table1[[#This Row],[Age]]&lt;45,"Adult",Table1[[#This Row],[Age]]&gt;=45,"Old")</f>
        <v>Old</v>
      </c>
    </row>
    <row r="548" spans="1:15" x14ac:dyDescent="0.25">
      <c r="A548" s="1">
        <v>22140</v>
      </c>
      <c r="B548" s="1" t="s">
        <v>742</v>
      </c>
      <c r="C548" s="1" t="s">
        <v>743</v>
      </c>
      <c r="D548" s="1">
        <v>21</v>
      </c>
      <c r="E548" s="1">
        <v>3</v>
      </c>
      <c r="F548" s="1" t="s">
        <v>954</v>
      </c>
      <c r="G548" s="1" t="s">
        <v>50</v>
      </c>
      <c r="H548" s="1" t="s">
        <v>32</v>
      </c>
      <c r="I548" s="1" t="s">
        <v>18</v>
      </c>
      <c r="J548" s="1">
        <v>40</v>
      </c>
      <c r="K548" s="1" t="s">
        <v>25</v>
      </c>
      <c r="L548" s="3">
        <v>98699</v>
      </c>
      <c r="M548" s="3">
        <v>98699</v>
      </c>
      <c r="N548" s="1" t="s">
        <v>29</v>
      </c>
      <c r="O548" s="5" t="str" cm="1">
        <f t="array" ref="O548">_xlfn.IFS(Table1[[#This Row],[Age]]&lt;25,"Young",Table1[[#This Row],[Age]]&lt;45,"Adult",Table1[[#This Row],[Age]]&gt;=45,"Old")</f>
        <v>Young</v>
      </c>
    </row>
    <row r="549" spans="1:15" x14ac:dyDescent="0.25">
      <c r="A549" s="1">
        <v>11246</v>
      </c>
      <c r="B549" s="1" t="s">
        <v>475</v>
      </c>
      <c r="C549" s="1" t="s">
        <v>744</v>
      </c>
      <c r="D549" s="1">
        <v>28</v>
      </c>
      <c r="E549" s="1">
        <v>5</v>
      </c>
      <c r="F549" s="1" t="s">
        <v>954</v>
      </c>
      <c r="G549" s="1" t="s">
        <v>45</v>
      </c>
      <c r="H549" s="1" t="s">
        <v>24</v>
      </c>
      <c r="I549" s="1" t="s">
        <v>18</v>
      </c>
      <c r="J549" s="1">
        <v>20</v>
      </c>
      <c r="K549" s="1" t="s">
        <v>37</v>
      </c>
      <c r="L549" s="3">
        <v>85000</v>
      </c>
      <c r="M549" s="3">
        <v>42500</v>
      </c>
      <c r="N549" s="1" t="s">
        <v>29</v>
      </c>
      <c r="O549" s="5" t="str" cm="1">
        <f t="array" ref="O549">_xlfn.IFS(Table1[[#This Row],[Age]]&lt;25,"Young",Table1[[#This Row],[Age]]&lt;45,"Adult",Table1[[#This Row],[Age]]&gt;=45,"Old")</f>
        <v>Adult</v>
      </c>
    </row>
    <row r="550" spans="1:15" x14ac:dyDescent="0.25">
      <c r="A550" s="1">
        <v>10375</v>
      </c>
      <c r="B550" s="1" t="s">
        <v>719</v>
      </c>
      <c r="C550" s="1" t="s">
        <v>720</v>
      </c>
      <c r="D550" s="1">
        <v>45</v>
      </c>
      <c r="E550" s="1">
        <v>27</v>
      </c>
      <c r="F550" s="1" t="s">
        <v>953</v>
      </c>
      <c r="G550" s="1" t="s">
        <v>45</v>
      </c>
      <c r="H550" s="1" t="s">
        <v>24</v>
      </c>
      <c r="I550" s="1" t="s">
        <v>51</v>
      </c>
      <c r="J550" s="1">
        <v>20</v>
      </c>
      <c r="K550" s="1" t="s">
        <v>19</v>
      </c>
      <c r="L550" s="3">
        <v>125195</v>
      </c>
      <c r="M550" s="3">
        <v>62597.5</v>
      </c>
      <c r="N550" s="1" t="s">
        <v>29</v>
      </c>
      <c r="O550" s="5" t="str" cm="1">
        <f t="array" ref="O550">_xlfn.IFS(Table1[[#This Row],[Age]]&lt;25,"Young",Table1[[#This Row],[Age]]&lt;45,"Adult",Table1[[#This Row],[Age]]&gt;=45,"Old")</f>
        <v>Old</v>
      </c>
    </row>
    <row r="551" spans="1:15" x14ac:dyDescent="0.25">
      <c r="A551" s="1">
        <v>15923</v>
      </c>
      <c r="B551" s="1" t="s">
        <v>397</v>
      </c>
      <c r="C551" s="1" t="s">
        <v>22</v>
      </c>
      <c r="D551" s="1">
        <v>49</v>
      </c>
      <c r="E551" s="1">
        <v>1</v>
      </c>
      <c r="F551" s="1" t="s">
        <v>954</v>
      </c>
      <c r="G551" s="1" t="s">
        <v>35</v>
      </c>
      <c r="H551" s="1" t="s">
        <v>36</v>
      </c>
      <c r="I551" s="1" t="s">
        <v>18</v>
      </c>
      <c r="J551" s="1">
        <v>40</v>
      </c>
      <c r="K551" s="1" t="s">
        <v>25</v>
      </c>
      <c r="L551" s="3">
        <v>106388</v>
      </c>
      <c r="M551" s="3">
        <v>106388</v>
      </c>
      <c r="N551" s="1" t="s">
        <v>29</v>
      </c>
      <c r="O551" s="5" t="str" cm="1">
        <f t="array" ref="O551">_xlfn.IFS(Table1[[#This Row],[Age]]&lt;25,"Young",Table1[[#This Row],[Age]]&lt;45,"Adult",Table1[[#This Row],[Age]]&gt;=45,"Old")</f>
        <v>Old</v>
      </c>
    </row>
    <row r="552" spans="1:15" x14ac:dyDescent="0.25">
      <c r="A552" s="1">
        <v>15163</v>
      </c>
      <c r="B552" s="1" t="s">
        <v>268</v>
      </c>
      <c r="C552" s="1" t="s">
        <v>745</v>
      </c>
      <c r="D552" s="1">
        <v>41</v>
      </c>
      <c r="E552" s="1">
        <v>12</v>
      </c>
      <c r="F552" s="1" t="s">
        <v>954</v>
      </c>
      <c r="G552" s="1" t="s">
        <v>35</v>
      </c>
      <c r="H552" s="1" t="s">
        <v>24</v>
      </c>
      <c r="I552" s="1" t="s">
        <v>18</v>
      </c>
      <c r="J552" s="1">
        <v>40</v>
      </c>
      <c r="K552" s="1" t="s">
        <v>37</v>
      </c>
      <c r="L552" s="3">
        <v>92898</v>
      </c>
      <c r="M552" s="3">
        <v>92898</v>
      </c>
      <c r="N552" s="1" t="s">
        <v>29</v>
      </c>
      <c r="O552" s="5" t="str" cm="1">
        <f t="array" ref="O552">_xlfn.IFS(Table1[[#This Row],[Age]]&lt;25,"Young",Table1[[#This Row],[Age]]&lt;45,"Adult",Table1[[#This Row],[Age]]&gt;=45,"Old")</f>
        <v>Adult</v>
      </c>
    </row>
    <row r="553" spans="1:15" x14ac:dyDescent="0.25">
      <c r="A553" s="1">
        <v>15175</v>
      </c>
      <c r="B553" s="1" t="s">
        <v>308</v>
      </c>
      <c r="C553" s="1" t="s">
        <v>507</v>
      </c>
      <c r="D553" s="1">
        <v>39</v>
      </c>
      <c r="E553" s="1">
        <v>12</v>
      </c>
      <c r="F553" s="1" t="s">
        <v>953</v>
      </c>
      <c r="G553" s="1" t="s">
        <v>45</v>
      </c>
      <c r="H553" s="1" t="s">
        <v>24</v>
      </c>
      <c r="I553" s="1" t="s">
        <v>51</v>
      </c>
      <c r="J553" s="1">
        <v>8</v>
      </c>
      <c r="K553" s="1" t="s">
        <v>37</v>
      </c>
      <c r="L553" s="3">
        <v>91800</v>
      </c>
      <c r="M553" s="3">
        <v>18360</v>
      </c>
      <c r="N553" s="1" t="s">
        <v>29</v>
      </c>
      <c r="O553" s="5" t="str" cm="1">
        <f t="array" ref="O553">_xlfn.IFS(Table1[[#This Row],[Age]]&lt;25,"Young",Table1[[#This Row],[Age]]&lt;45,"Adult",Table1[[#This Row],[Age]]&gt;=45,"Old")</f>
        <v>Adult</v>
      </c>
    </row>
    <row r="554" spans="1:15" x14ac:dyDescent="0.25">
      <c r="A554" s="1">
        <v>7689</v>
      </c>
      <c r="B554" s="1" t="s">
        <v>746</v>
      </c>
      <c r="C554" s="1" t="s">
        <v>747</v>
      </c>
      <c r="D554" s="1">
        <v>50</v>
      </c>
      <c r="E554" s="1">
        <v>21</v>
      </c>
      <c r="F554" s="1" t="s">
        <v>954</v>
      </c>
      <c r="G554" s="1" t="s">
        <v>16</v>
      </c>
      <c r="H554" s="1" t="s">
        <v>36</v>
      </c>
      <c r="I554" s="1" t="s">
        <v>18</v>
      </c>
      <c r="J554" s="1">
        <v>32</v>
      </c>
      <c r="K554" s="1" t="s">
        <v>19</v>
      </c>
      <c r="L554" s="3">
        <v>115000</v>
      </c>
      <c r="M554" s="3">
        <v>92000</v>
      </c>
      <c r="N554" s="1" t="s">
        <v>29</v>
      </c>
      <c r="O554" s="5" t="str" cm="1">
        <f t="array" ref="O554">_xlfn.IFS(Table1[[#This Row],[Age]]&lt;25,"Young",Table1[[#This Row],[Age]]&lt;45,"Adult",Table1[[#This Row],[Age]]&gt;=45,"Old")</f>
        <v>Old</v>
      </c>
    </row>
    <row r="555" spans="1:15" x14ac:dyDescent="0.25">
      <c r="A555" s="1">
        <v>17437</v>
      </c>
      <c r="B555" s="1" t="s">
        <v>748</v>
      </c>
      <c r="C555" s="1" t="s">
        <v>584</v>
      </c>
      <c r="D555" s="1">
        <v>58</v>
      </c>
      <c r="E555" s="1">
        <v>19</v>
      </c>
      <c r="F555" s="1" t="s">
        <v>953</v>
      </c>
      <c r="G555" s="1" t="s">
        <v>35</v>
      </c>
      <c r="H555" s="1" t="s">
        <v>119</v>
      </c>
      <c r="I555" s="1" t="s">
        <v>51</v>
      </c>
      <c r="J555" s="1">
        <v>8</v>
      </c>
      <c r="K555" s="1" t="s">
        <v>19</v>
      </c>
      <c r="L555" s="3">
        <v>124200</v>
      </c>
      <c r="M555" s="3">
        <v>24840</v>
      </c>
      <c r="N555" s="1" t="s">
        <v>29</v>
      </c>
      <c r="O555" s="5" t="str" cm="1">
        <f t="array" ref="O555">_xlfn.IFS(Table1[[#This Row],[Age]]&lt;25,"Young",Table1[[#This Row],[Age]]&lt;45,"Adult",Table1[[#This Row],[Age]]&gt;=45,"Old")</f>
        <v>Old</v>
      </c>
    </row>
    <row r="556" spans="1:15" x14ac:dyDescent="0.25">
      <c r="A556" s="1">
        <v>16192</v>
      </c>
      <c r="B556" s="1" t="s">
        <v>749</v>
      </c>
      <c r="C556" s="1" t="s">
        <v>750</v>
      </c>
      <c r="D556" s="1">
        <v>30</v>
      </c>
      <c r="E556" s="1">
        <v>0</v>
      </c>
      <c r="F556" s="1" t="s">
        <v>954</v>
      </c>
      <c r="G556" s="1" t="s">
        <v>16</v>
      </c>
      <c r="H556" s="1" t="s">
        <v>32</v>
      </c>
      <c r="I556" s="1" t="s">
        <v>18</v>
      </c>
      <c r="J556" s="1">
        <v>40</v>
      </c>
      <c r="K556" s="1" t="s">
        <v>42</v>
      </c>
      <c r="L556" s="3">
        <v>68309</v>
      </c>
      <c r="M556" s="3">
        <v>68309</v>
      </c>
      <c r="N556" s="1" t="s">
        <v>29</v>
      </c>
      <c r="O556" s="5" t="str" cm="1">
        <f t="array" ref="O556">_xlfn.IFS(Table1[[#This Row],[Age]]&lt;25,"Young",Table1[[#This Row],[Age]]&lt;45,"Adult",Table1[[#This Row],[Age]]&gt;=45,"Old")</f>
        <v>Adult</v>
      </c>
    </row>
    <row r="557" spans="1:15" x14ac:dyDescent="0.25">
      <c r="A557" s="1">
        <v>6247</v>
      </c>
      <c r="B557" s="1" t="s">
        <v>751</v>
      </c>
      <c r="C557" s="1" t="s">
        <v>752</v>
      </c>
      <c r="D557" s="1">
        <v>59</v>
      </c>
      <c r="E557" s="1">
        <v>5</v>
      </c>
      <c r="F557" s="1" t="s">
        <v>953</v>
      </c>
      <c r="G557" s="1" t="s">
        <v>16</v>
      </c>
      <c r="H557" s="1" t="s">
        <v>17</v>
      </c>
      <c r="I557" s="1" t="s">
        <v>18</v>
      </c>
      <c r="J557" s="1">
        <v>20</v>
      </c>
      <c r="K557" s="1" t="s">
        <v>52</v>
      </c>
      <c r="L557" s="3">
        <v>142279</v>
      </c>
      <c r="M557" s="3">
        <v>71139.5</v>
      </c>
      <c r="N557" s="1" t="s">
        <v>29</v>
      </c>
      <c r="O557" s="5" t="str" cm="1">
        <f t="array" ref="O557">_xlfn.IFS(Table1[[#This Row],[Age]]&lt;25,"Young",Table1[[#This Row],[Age]]&lt;45,"Adult",Table1[[#This Row],[Age]]&gt;=45,"Old")</f>
        <v>Old</v>
      </c>
    </row>
    <row r="558" spans="1:15" x14ac:dyDescent="0.25">
      <c r="A558" s="1">
        <v>22276</v>
      </c>
      <c r="B558" s="1" t="s">
        <v>370</v>
      </c>
      <c r="C558" s="1" t="s">
        <v>753</v>
      </c>
      <c r="D558" s="1">
        <v>23</v>
      </c>
      <c r="E558" s="1">
        <v>2</v>
      </c>
      <c r="F558" s="1" t="s">
        <v>953</v>
      </c>
      <c r="G558" s="1" t="s">
        <v>35</v>
      </c>
      <c r="H558" s="1" t="s">
        <v>36</v>
      </c>
      <c r="I558" s="1" t="s">
        <v>18</v>
      </c>
      <c r="J558" s="1">
        <v>40</v>
      </c>
      <c r="K558" s="1" t="s">
        <v>37</v>
      </c>
      <c r="L558" s="3">
        <v>104237</v>
      </c>
      <c r="M558" s="3">
        <v>104237</v>
      </c>
      <c r="N558" s="1" t="s">
        <v>26</v>
      </c>
      <c r="O558" s="5" t="str" cm="1">
        <f t="array" ref="O558">_xlfn.IFS(Table1[[#This Row],[Age]]&lt;25,"Young",Table1[[#This Row],[Age]]&lt;45,"Adult",Table1[[#This Row],[Age]]&gt;=45,"Old")</f>
        <v>Young</v>
      </c>
    </row>
    <row r="559" spans="1:15" x14ac:dyDescent="0.25">
      <c r="A559" s="1">
        <v>3465</v>
      </c>
      <c r="B559" s="1" t="s">
        <v>98</v>
      </c>
      <c r="C559" s="1" t="s">
        <v>754</v>
      </c>
      <c r="D559" s="1">
        <v>47</v>
      </c>
      <c r="E559" s="1">
        <v>29</v>
      </c>
      <c r="F559" s="1" t="s">
        <v>953</v>
      </c>
      <c r="G559" s="1" t="s">
        <v>23</v>
      </c>
      <c r="H559" s="1" t="s">
        <v>192</v>
      </c>
      <c r="I559" s="1" t="s">
        <v>51</v>
      </c>
      <c r="J559" s="1">
        <v>32</v>
      </c>
      <c r="K559" s="1" t="s">
        <v>52</v>
      </c>
      <c r="L559" s="3">
        <v>148825</v>
      </c>
      <c r="M559" s="3">
        <v>119060</v>
      </c>
      <c r="N559" s="1" t="s">
        <v>29</v>
      </c>
      <c r="O559" s="5" t="str" cm="1">
        <f t="array" ref="O559">_xlfn.IFS(Table1[[#This Row],[Age]]&lt;25,"Young",Table1[[#This Row],[Age]]&lt;45,"Adult",Table1[[#This Row],[Age]]&gt;=45,"Old")</f>
        <v>Old</v>
      </c>
    </row>
    <row r="560" spans="1:15" x14ac:dyDescent="0.25">
      <c r="A560" s="1">
        <v>9986</v>
      </c>
      <c r="B560" s="1" t="s">
        <v>755</v>
      </c>
      <c r="C560" s="1" t="s">
        <v>756</v>
      </c>
      <c r="D560" s="1">
        <v>31</v>
      </c>
      <c r="E560" s="1">
        <v>7</v>
      </c>
      <c r="F560" s="1" t="s">
        <v>954</v>
      </c>
      <c r="G560" s="1" t="s">
        <v>50</v>
      </c>
      <c r="H560" s="1" t="s">
        <v>36</v>
      </c>
      <c r="I560" s="1" t="s">
        <v>18</v>
      </c>
      <c r="J560" s="1">
        <v>32</v>
      </c>
      <c r="K560" s="1" t="s">
        <v>42</v>
      </c>
      <c r="L560" s="3">
        <v>68000</v>
      </c>
      <c r="M560" s="3">
        <v>54400</v>
      </c>
      <c r="N560" s="1" t="s">
        <v>20</v>
      </c>
      <c r="O560" s="5" t="str" cm="1">
        <f t="array" ref="O560">_xlfn.IFS(Table1[[#This Row],[Age]]&lt;25,"Young",Table1[[#This Row],[Age]]&lt;45,"Adult",Table1[[#This Row],[Age]]&gt;=45,"Old")</f>
        <v>Adult</v>
      </c>
    </row>
    <row r="561" spans="1:15" x14ac:dyDescent="0.25">
      <c r="A561" s="1">
        <v>17577</v>
      </c>
      <c r="B561" s="1" t="s">
        <v>156</v>
      </c>
      <c r="C561" s="1" t="s">
        <v>281</v>
      </c>
      <c r="D561" s="1">
        <v>54</v>
      </c>
      <c r="E561" s="1">
        <v>33</v>
      </c>
      <c r="F561" s="1" t="s">
        <v>953</v>
      </c>
      <c r="G561" s="1" t="s">
        <v>45</v>
      </c>
      <c r="H561" s="1" t="s">
        <v>24</v>
      </c>
      <c r="I561" s="1" t="s">
        <v>51</v>
      </c>
      <c r="J561" s="1">
        <v>40</v>
      </c>
      <c r="K561" s="1" t="s">
        <v>25</v>
      </c>
      <c r="L561" s="3">
        <v>122000</v>
      </c>
      <c r="M561" s="3">
        <v>122000</v>
      </c>
      <c r="N561" s="1" t="s">
        <v>26</v>
      </c>
      <c r="O561" s="5" t="str" cm="1">
        <f t="array" ref="O561">_xlfn.IFS(Table1[[#This Row],[Age]]&lt;25,"Young",Table1[[#This Row],[Age]]&lt;45,"Adult",Table1[[#This Row],[Age]]&gt;=45,"Old")</f>
        <v>Old</v>
      </c>
    </row>
    <row r="562" spans="1:15" x14ac:dyDescent="0.25">
      <c r="A562" s="1">
        <v>22440</v>
      </c>
      <c r="B562" s="1" t="s">
        <v>21</v>
      </c>
      <c r="C562" s="1" t="s">
        <v>22</v>
      </c>
      <c r="D562" s="1">
        <v>40</v>
      </c>
      <c r="E562" s="1">
        <v>12</v>
      </c>
      <c r="F562" s="1" t="s">
        <v>953</v>
      </c>
      <c r="G562" s="1" t="s">
        <v>23</v>
      </c>
      <c r="H562" s="1" t="s">
        <v>32</v>
      </c>
      <c r="I562" s="1" t="s">
        <v>18</v>
      </c>
      <c r="J562" s="1">
        <v>32</v>
      </c>
      <c r="K562" s="1" t="s">
        <v>37</v>
      </c>
      <c r="L562" s="3">
        <v>98927</v>
      </c>
      <c r="M562" s="3">
        <v>79141.600000000006</v>
      </c>
      <c r="N562" s="1" t="s">
        <v>29</v>
      </c>
      <c r="O562" s="5" t="str" cm="1">
        <f t="array" ref="O562">_xlfn.IFS(Table1[[#This Row],[Age]]&lt;25,"Young",Table1[[#This Row],[Age]]&lt;45,"Adult",Table1[[#This Row],[Age]]&gt;=45,"Old")</f>
        <v>Adult</v>
      </c>
    </row>
    <row r="563" spans="1:15" x14ac:dyDescent="0.25">
      <c r="A563" s="1">
        <v>21427</v>
      </c>
      <c r="B563" s="1" t="s">
        <v>536</v>
      </c>
      <c r="C563" s="1" t="s">
        <v>246</v>
      </c>
      <c r="D563" s="1">
        <v>34</v>
      </c>
      <c r="E563" s="1">
        <v>4</v>
      </c>
      <c r="F563" s="1" t="s">
        <v>954</v>
      </c>
      <c r="G563" s="1" t="s">
        <v>50</v>
      </c>
      <c r="H563" s="1" t="s">
        <v>64</v>
      </c>
      <c r="I563" s="1" t="s">
        <v>18</v>
      </c>
      <c r="J563" s="1">
        <v>24</v>
      </c>
      <c r="K563" s="1" t="s">
        <v>19</v>
      </c>
      <c r="L563" s="3">
        <v>115000</v>
      </c>
      <c r="M563" s="3">
        <v>69000</v>
      </c>
      <c r="N563" s="1" t="s">
        <v>29</v>
      </c>
      <c r="O563" s="5" t="str" cm="1">
        <f t="array" ref="O563">_xlfn.IFS(Table1[[#This Row],[Age]]&lt;25,"Young",Table1[[#This Row],[Age]]&lt;45,"Adult",Table1[[#This Row],[Age]]&gt;=45,"Old")</f>
        <v>Adult</v>
      </c>
    </row>
    <row r="564" spans="1:15" x14ac:dyDescent="0.25">
      <c r="A564" s="1">
        <v>20978</v>
      </c>
      <c r="B564" s="1" t="s">
        <v>367</v>
      </c>
      <c r="C564" s="1" t="s">
        <v>710</v>
      </c>
      <c r="D564" s="1">
        <v>59</v>
      </c>
      <c r="E564" s="1">
        <v>37</v>
      </c>
      <c r="F564" s="1" t="s">
        <v>954</v>
      </c>
      <c r="G564" s="1" t="s">
        <v>35</v>
      </c>
      <c r="H564" s="1" t="s">
        <v>36</v>
      </c>
      <c r="I564" s="1" t="s">
        <v>18</v>
      </c>
      <c r="J564" s="1">
        <v>40</v>
      </c>
      <c r="K564" s="1" t="s">
        <v>37</v>
      </c>
      <c r="L564" s="3">
        <v>93374</v>
      </c>
      <c r="M564" s="3">
        <v>93374</v>
      </c>
      <c r="N564" s="1" t="s">
        <v>29</v>
      </c>
      <c r="O564" s="5" t="str" cm="1">
        <f t="array" ref="O564">_xlfn.IFS(Table1[[#This Row],[Age]]&lt;25,"Young",Table1[[#This Row],[Age]]&lt;45,"Adult",Table1[[#This Row],[Age]]&gt;=45,"Old")</f>
        <v>Old</v>
      </c>
    </row>
    <row r="565" spans="1:15" x14ac:dyDescent="0.25">
      <c r="A565" s="1">
        <v>11670</v>
      </c>
      <c r="B565" s="1" t="s">
        <v>114</v>
      </c>
      <c r="C565" s="1" t="s">
        <v>757</v>
      </c>
      <c r="D565" s="1">
        <v>23</v>
      </c>
      <c r="E565" s="1">
        <v>4</v>
      </c>
      <c r="F565" s="1" t="s">
        <v>954</v>
      </c>
      <c r="G565" s="1" t="s">
        <v>35</v>
      </c>
      <c r="H565" s="1" t="s">
        <v>24</v>
      </c>
      <c r="I565" s="1" t="s">
        <v>18</v>
      </c>
      <c r="J565" s="1">
        <v>40</v>
      </c>
      <c r="K565" s="1" t="s">
        <v>19</v>
      </c>
      <c r="L565" s="3">
        <v>115000</v>
      </c>
      <c r="M565" s="3">
        <v>115000</v>
      </c>
      <c r="N565" s="1" t="s">
        <v>29</v>
      </c>
      <c r="O565" s="5" t="str" cm="1">
        <f t="array" ref="O565">_xlfn.IFS(Table1[[#This Row],[Age]]&lt;25,"Young",Table1[[#This Row],[Age]]&lt;45,"Adult",Table1[[#This Row],[Age]]&gt;=45,"Old")</f>
        <v>Young</v>
      </c>
    </row>
    <row r="566" spans="1:15" x14ac:dyDescent="0.25">
      <c r="A566" s="1">
        <v>3747</v>
      </c>
      <c r="B566" s="1" t="s">
        <v>620</v>
      </c>
      <c r="C566" s="1" t="s">
        <v>83</v>
      </c>
      <c r="D566" s="1">
        <v>40</v>
      </c>
      <c r="E566" s="1">
        <v>3</v>
      </c>
      <c r="F566" s="1" t="s">
        <v>953</v>
      </c>
      <c r="G566" s="1" t="s">
        <v>23</v>
      </c>
      <c r="H566" s="1" t="s">
        <v>192</v>
      </c>
      <c r="I566" s="1" t="s">
        <v>18</v>
      </c>
      <c r="J566" s="1">
        <v>20</v>
      </c>
      <c r="K566" s="1" t="s">
        <v>37</v>
      </c>
      <c r="L566" s="3">
        <v>91800</v>
      </c>
      <c r="M566" s="3">
        <v>45900</v>
      </c>
      <c r="N566" s="1" t="s">
        <v>20</v>
      </c>
      <c r="O566" s="5" t="str" cm="1">
        <f t="array" ref="O566">_xlfn.IFS(Table1[[#This Row],[Age]]&lt;25,"Young",Table1[[#This Row],[Age]]&lt;45,"Adult",Table1[[#This Row],[Age]]&gt;=45,"Old")</f>
        <v>Adult</v>
      </c>
    </row>
    <row r="567" spans="1:15" x14ac:dyDescent="0.25">
      <c r="A567" s="1">
        <v>8383</v>
      </c>
      <c r="B567" s="1" t="s">
        <v>65</v>
      </c>
      <c r="C567" s="1" t="s">
        <v>87</v>
      </c>
      <c r="D567" s="1">
        <v>58</v>
      </c>
      <c r="E567" s="1">
        <v>7</v>
      </c>
      <c r="F567" s="1" t="s">
        <v>953</v>
      </c>
      <c r="G567" s="1" t="s">
        <v>16</v>
      </c>
      <c r="H567" s="1" t="s">
        <v>24</v>
      </c>
      <c r="I567" s="1" t="s">
        <v>51</v>
      </c>
      <c r="J567" s="1">
        <v>40</v>
      </c>
      <c r="K567" s="1" t="s">
        <v>52</v>
      </c>
      <c r="L567" s="3">
        <v>141007</v>
      </c>
      <c r="M567" s="3">
        <v>141007</v>
      </c>
      <c r="N567" s="1" t="s">
        <v>29</v>
      </c>
      <c r="O567" s="5" t="str" cm="1">
        <f t="array" ref="O567">_xlfn.IFS(Table1[[#This Row],[Age]]&lt;25,"Young",Table1[[#This Row],[Age]]&lt;45,"Adult",Table1[[#This Row],[Age]]&gt;=45,"Old")</f>
        <v>Old</v>
      </c>
    </row>
    <row r="568" spans="1:15" x14ac:dyDescent="0.25">
      <c r="A568" s="1">
        <v>10858</v>
      </c>
      <c r="B568" s="1" t="s">
        <v>46</v>
      </c>
      <c r="C568" s="1" t="s">
        <v>394</v>
      </c>
      <c r="D568" s="1">
        <v>53</v>
      </c>
      <c r="E568" s="1">
        <v>33</v>
      </c>
      <c r="F568" s="1" t="s">
        <v>953</v>
      </c>
      <c r="G568" s="1" t="s">
        <v>35</v>
      </c>
      <c r="H568" s="1" t="s">
        <v>36</v>
      </c>
      <c r="I568" s="1" t="s">
        <v>18</v>
      </c>
      <c r="J568" s="1">
        <v>40</v>
      </c>
      <c r="K568" s="1" t="s">
        <v>25</v>
      </c>
      <c r="L568" s="3">
        <v>107807</v>
      </c>
      <c r="M568" s="3">
        <v>107807</v>
      </c>
      <c r="N568" s="1" t="s">
        <v>29</v>
      </c>
      <c r="O568" s="5" t="str" cm="1">
        <f t="array" ref="O568">_xlfn.IFS(Table1[[#This Row],[Age]]&lt;25,"Young",Table1[[#This Row],[Age]]&lt;45,"Adult",Table1[[#This Row],[Age]]&gt;=45,"Old")</f>
        <v>Old</v>
      </c>
    </row>
    <row r="569" spans="1:15" x14ac:dyDescent="0.25">
      <c r="A569" s="1">
        <v>8048</v>
      </c>
      <c r="B569" s="1" t="s">
        <v>466</v>
      </c>
      <c r="C569" s="1" t="s">
        <v>260</v>
      </c>
      <c r="D569" s="1">
        <v>56</v>
      </c>
      <c r="E569" s="1">
        <v>6</v>
      </c>
      <c r="F569" s="1" t="s">
        <v>954</v>
      </c>
      <c r="G569" s="1" t="s">
        <v>16</v>
      </c>
      <c r="H569" s="1" t="s">
        <v>36</v>
      </c>
      <c r="I569" s="1" t="s">
        <v>18</v>
      </c>
      <c r="J569" s="1">
        <v>40</v>
      </c>
      <c r="K569" s="1" t="s">
        <v>19</v>
      </c>
      <c r="L569" s="3">
        <v>122474</v>
      </c>
      <c r="M569" s="3">
        <v>122474</v>
      </c>
      <c r="N569" s="1" t="s">
        <v>26</v>
      </c>
      <c r="O569" s="5" t="str" cm="1">
        <f t="array" ref="O569">_xlfn.IFS(Table1[[#This Row],[Age]]&lt;25,"Young",Table1[[#This Row],[Age]]&lt;45,"Adult",Table1[[#This Row],[Age]]&gt;=45,"Old")</f>
        <v>Old</v>
      </c>
    </row>
    <row r="570" spans="1:15" x14ac:dyDescent="0.25">
      <c r="A570" s="1">
        <v>7212</v>
      </c>
      <c r="B570" s="1" t="s">
        <v>642</v>
      </c>
      <c r="C570" s="1" t="s">
        <v>205</v>
      </c>
      <c r="D570" s="1">
        <v>36</v>
      </c>
      <c r="E570" s="1">
        <v>15</v>
      </c>
      <c r="F570" s="1" t="s">
        <v>954</v>
      </c>
      <c r="G570" s="1" t="s">
        <v>50</v>
      </c>
      <c r="H570" s="1" t="s">
        <v>32</v>
      </c>
      <c r="I570" s="1" t="s">
        <v>18</v>
      </c>
      <c r="J570" s="1">
        <v>32</v>
      </c>
      <c r="K570" s="1" t="s">
        <v>25</v>
      </c>
      <c r="L570" s="3">
        <v>98000</v>
      </c>
      <c r="M570" s="3">
        <v>78400</v>
      </c>
      <c r="N570" s="1" t="s">
        <v>20</v>
      </c>
      <c r="O570" s="5" t="str" cm="1">
        <f t="array" ref="O570">_xlfn.IFS(Table1[[#This Row],[Age]]&lt;25,"Young",Table1[[#This Row],[Age]]&lt;45,"Adult",Table1[[#This Row],[Age]]&gt;=45,"Old")</f>
        <v>Adult</v>
      </c>
    </row>
    <row r="571" spans="1:15" x14ac:dyDescent="0.25">
      <c r="A571" s="1">
        <v>5515</v>
      </c>
      <c r="B571" s="1" t="s">
        <v>758</v>
      </c>
      <c r="C571" s="1" t="s">
        <v>759</v>
      </c>
      <c r="D571" s="1">
        <v>48</v>
      </c>
      <c r="E571" s="1">
        <v>21</v>
      </c>
      <c r="F571" s="1" t="s">
        <v>954</v>
      </c>
      <c r="G571" s="1" t="s">
        <v>35</v>
      </c>
      <c r="H571" s="1" t="s">
        <v>64</v>
      </c>
      <c r="I571" s="1" t="s">
        <v>51</v>
      </c>
      <c r="J571" s="1">
        <v>20</v>
      </c>
      <c r="K571" s="1" t="s">
        <v>19</v>
      </c>
      <c r="L571" s="3">
        <v>115000</v>
      </c>
      <c r="M571" s="3">
        <v>57500</v>
      </c>
      <c r="N571" s="1" t="s">
        <v>20</v>
      </c>
      <c r="O571" s="5" t="str" cm="1">
        <f t="array" ref="O571">_xlfn.IFS(Table1[[#This Row],[Age]]&lt;25,"Young",Table1[[#This Row],[Age]]&lt;45,"Adult",Table1[[#This Row],[Age]]&gt;=45,"Old")</f>
        <v>Old</v>
      </c>
    </row>
    <row r="572" spans="1:15" x14ac:dyDescent="0.25">
      <c r="A572" s="1">
        <v>1487</v>
      </c>
      <c r="B572" s="1" t="s">
        <v>760</v>
      </c>
      <c r="C572" s="1" t="s">
        <v>371</v>
      </c>
      <c r="D572" s="1">
        <v>60</v>
      </c>
      <c r="E572" s="1">
        <v>34</v>
      </c>
      <c r="F572" s="1" t="s">
        <v>954</v>
      </c>
      <c r="G572" s="1" t="s">
        <v>45</v>
      </c>
      <c r="H572" s="1" t="s">
        <v>17</v>
      </c>
      <c r="I572" s="1" t="s">
        <v>51</v>
      </c>
      <c r="J572" s="1">
        <v>32</v>
      </c>
      <c r="K572" s="1" t="s">
        <v>25</v>
      </c>
      <c r="L572" s="3">
        <v>98000</v>
      </c>
      <c r="M572" s="3">
        <v>78400</v>
      </c>
      <c r="N572" s="1" t="s">
        <v>20</v>
      </c>
      <c r="O572" s="5" t="str" cm="1">
        <f t="array" ref="O572">_xlfn.IFS(Table1[[#This Row],[Age]]&lt;25,"Young",Table1[[#This Row],[Age]]&lt;45,"Adult",Table1[[#This Row],[Age]]&gt;=45,"Old")</f>
        <v>Old</v>
      </c>
    </row>
    <row r="573" spans="1:15" x14ac:dyDescent="0.25">
      <c r="A573" s="1">
        <v>2201</v>
      </c>
      <c r="B573" s="1" t="s">
        <v>761</v>
      </c>
      <c r="C573" s="1" t="s">
        <v>194</v>
      </c>
      <c r="D573" s="1">
        <v>37</v>
      </c>
      <c r="E573" s="1">
        <v>14</v>
      </c>
      <c r="F573" s="1" t="s">
        <v>954</v>
      </c>
      <c r="G573" s="1" t="s">
        <v>45</v>
      </c>
      <c r="H573" s="1" t="s">
        <v>32</v>
      </c>
      <c r="I573" s="1" t="s">
        <v>18</v>
      </c>
      <c r="J573" s="1">
        <v>40</v>
      </c>
      <c r="K573" s="1" t="s">
        <v>37</v>
      </c>
      <c r="L573" s="3">
        <v>85000</v>
      </c>
      <c r="M573" s="3">
        <v>85000</v>
      </c>
      <c r="N573" s="1" t="s">
        <v>29</v>
      </c>
      <c r="O573" s="5" t="str" cm="1">
        <f t="array" ref="O573">_xlfn.IFS(Table1[[#This Row],[Age]]&lt;25,"Young",Table1[[#This Row],[Age]]&lt;45,"Adult",Table1[[#This Row],[Age]]&gt;=45,"Old")</f>
        <v>Adult</v>
      </c>
    </row>
    <row r="574" spans="1:15" x14ac:dyDescent="0.25">
      <c r="A574" s="1">
        <v>8710</v>
      </c>
      <c r="B574" s="1" t="s">
        <v>270</v>
      </c>
      <c r="C574" s="1" t="s">
        <v>394</v>
      </c>
      <c r="D574" s="1">
        <v>39</v>
      </c>
      <c r="E574" s="1">
        <v>12</v>
      </c>
      <c r="F574" s="1" t="s">
        <v>954</v>
      </c>
      <c r="G574" s="1" t="s">
        <v>50</v>
      </c>
      <c r="H574" s="1" t="s">
        <v>36</v>
      </c>
      <c r="I574" s="1" t="s">
        <v>18</v>
      </c>
      <c r="J574" s="1">
        <v>40</v>
      </c>
      <c r="K574" s="1" t="s">
        <v>37</v>
      </c>
      <c r="L574" s="3">
        <v>85000</v>
      </c>
      <c r="M574" s="3">
        <v>85000</v>
      </c>
      <c r="N574" s="1" t="s">
        <v>29</v>
      </c>
      <c r="O574" s="5" t="str" cm="1">
        <f t="array" ref="O574">_xlfn.IFS(Table1[[#This Row],[Age]]&lt;25,"Young",Table1[[#This Row],[Age]]&lt;45,"Adult",Table1[[#This Row],[Age]]&gt;=45,"Old")</f>
        <v>Adult</v>
      </c>
    </row>
    <row r="575" spans="1:15" x14ac:dyDescent="0.25">
      <c r="A575" s="1">
        <v>16256</v>
      </c>
      <c r="B575" s="1" t="s">
        <v>762</v>
      </c>
      <c r="C575" s="1" t="s">
        <v>104</v>
      </c>
      <c r="D575" s="1">
        <v>39</v>
      </c>
      <c r="E575" s="1">
        <v>13</v>
      </c>
      <c r="F575" s="1" t="s">
        <v>953</v>
      </c>
      <c r="G575" s="1" t="s">
        <v>35</v>
      </c>
      <c r="H575" s="1" t="s">
        <v>24</v>
      </c>
      <c r="I575" s="1" t="s">
        <v>18</v>
      </c>
      <c r="J575" s="1">
        <v>20</v>
      </c>
      <c r="K575" s="1" t="s">
        <v>19</v>
      </c>
      <c r="L575" s="3">
        <v>124200</v>
      </c>
      <c r="M575" s="3">
        <v>62100</v>
      </c>
      <c r="N575" s="1" t="s">
        <v>29</v>
      </c>
      <c r="O575" s="5" t="str" cm="1">
        <f t="array" ref="O575">_xlfn.IFS(Table1[[#This Row],[Age]]&lt;25,"Young",Table1[[#This Row],[Age]]&lt;45,"Adult",Table1[[#This Row],[Age]]&gt;=45,"Old")</f>
        <v>Adult</v>
      </c>
    </row>
    <row r="576" spans="1:15" x14ac:dyDescent="0.25">
      <c r="A576" s="1">
        <v>20717</v>
      </c>
      <c r="B576" s="1" t="s">
        <v>556</v>
      </c>
      <c r="C576" s="1" t="s">
        <v>113</v>
      </c>
      <c r="D576" s="1">
        <v>52</v>
      </c>
      <c r="E576" s="1">
        <v>10</v>
      </c>
      <c r="F576" s="1" t="s">
        <v>953</v>
      </c>
      <c r="G576" s="1" t="s">
        <v>23</v>
      </c>
      <c r="H576" s="1" t="s">
        <v>24</v>
      </c>
      <c r="I576" s="1" t="s">
        <v>18</v>
      </c>
      <c r="J576" s="1">
        <v>40</v>
      </c>
      <c r="K576" s="1" t="s">
        <v>25</v>
      </c>
      <c r="L576" s="3">
        <v>122000</v>
      </c>
      <c r="M576" s="3">
        <v>122000</v>
      </c>
      <c r="N576" s="1" t="s">
        <v>26</v>
      </c>
      <c r="O576" s="5" t="str" cm="1">
        <f t="array" ref="O576">_xlfn.IFS(Table1[[#This Row],[Age]]&lt;25,"Young",Table1[[#This Row],[Age]]&lt;45,"Adult",Table1[[#This Row],[Age]]&gt;=45,"Old")</f>
        <v>Old</v>
      </c>
    </row>
    <row r="577" spans="1:15" x14ac:dyDescent="0.25">
      <c r="A577" s="1">
        <v>3073</v>
      </c>
      <c r="B577" s="1" t="s">
        <v>350</v>
      </c>
      <c r="C577" s="1" t="s">
        <v>269</v>
      </c>
      <c r="D577" s="1">
        <v>31</v>
      </c>
      <c r="E577" s="1">
        <v>3</v>
      </c>
      <c r="F577" s="1" t="s">
        <v>953</v>
      </c>
      <c r="G577" s="1" t="s">
        <v>23</v>
      </c>
      <c r="H577" s="1" t="s">
        <v>24</v>
      </c>
      <c r="I577" s="1" t="s">
        <v>18</v>
      </c>
      <c r="J577" s="1">
        <v>40</v>
      </c>
      <c r="K577" s="1" t="s">
        <v>37</v>
      </c>
      <c r="L577" s="3">
        <v>96045</v>
      </c>
      <c r="M577" s="3">
        <v>96045</v>
      </c>
      <c r="N577" s="1" t="s">
        <v>29</v>
      </c>
      <c r="O577" s="5" t="str" cm="1">
        <f t="array" ref="O577">_xlfn.IFS(Table1[[#This Row],[Age]]&lt;25,"Young",Table1[[#This Row],[Age]]&lt;45,"Adult",Table1[[#This Row],[Age]]&gt;=45,"Old")</f>
        <v>Adult</v>
      </c>
    </row>
    <row r="578" spans="1:15" x14ac:dyDescent="0.25">
      <c r="A578" s="1">
        <v>15610</v>
      </c>
      <c r="B578" s="1" t="s">
        <v>763</v>
      </c>
      <c r="C578" s="1" t="s">
        <v>764</v>
      </c>
      <c r="D578" s="1">
        <v>28</v>
      </c>
      <c r="E578" s="1">
        <v>5</v>
      </c>
      <c r="F578" s="1" t="s">
        <v>953</v>
      </c>
      <c r="G578" s="1" t="s">
        <v>23</v>
      </c>
      <c r="H578" s="1" t="s">
        <v>32</v>
      </c>
      <c r="I578" s="1" t="s">
        <v>18</v>
      </c>
      <c r="J578" s="1">
        <v>16</v>
      </c>
      <c r="K578" s="1" t="s">
        <v>42</v>
      </c>
      <c r="L578" s="3">
        <v>73910</v>
      </c>
      <c r="M578" s="3">
        <v>29564</v>
      </c>
      <c r="N578" s="1" t="s">
        <v>26</v>
      </c>
      <c r="O578" s="5" t="str" cm="1">
        <f t="array" ref="O578">_xlfn.IFS(Table1[[#This Row],[Age]]&lt;25,"Young",Table1[[#This Row],[Age]]&lt;45,"Adult",Table1[[#This Row],[Age]]&gt;=45,"Old")</f>
        <v>Adult</v>
      </c>
    </row>
    <row r="579" spans="1:15" x14ac:dyDescent="0.25">
      <c r="A579" s="1">
        <v>14267</v>
      </c>
      <c r="B579" s="1" t="s">
        <v>289</v>
      </c>
      <c r="C579" s="1" t="s">
        <v>765</v>
      </c>
      <c r="D579" s="1">
        <v>43</v>
      </c>
      <c r="E579" s="1">
        <v>7</v>
      </c>
      <c r="F579" s="1" t="s">
        <v>954</v>
      </c>
      <c r="G579" s="1" t="s">
        <v>16</v>
      </c>
      <c r="H579" s="1" t="s">
        <v>192</v>
      </c>
      <c r="I579" s="1" t="s">
        <v>51</v>
      </c>
      <c r="J579" s="1">
        <v>40</v>
      </c>
      <c r="K579" s="1" t="s">
        <v>52</v>
      </c>
      <c r="L579" s="3">
        <v>138652</v>
      </c>
      <c r="M579" s="3">
        <v>138652</v>
      </c>
      <c r="N579" s="1" t="s">
        <v>29</v>
      </c>
      <c r="O579" s="5" t="str" cm="1">
        <f t="array" ref="O579">_xlfn.IFS(Table1[[#This Row],[Age]]&lt;25,"Young",Table1[[#This Row],[Age]]&lt;45,"Adult",Table1[[#This Row],[Age]]&gt;=45,"Old")</f>
        <v>Adult</v>
      </c>
    </row>
    <row r="580" spans="1:15" x14ac:dyDescent="0.25">
      <c r="A580" s="1">
        <v>21323</v>
      </c>
      <c r="B580" s="1" t="s">
        <v>290</v>
      </c>
      <c r="C580" s="1" t="s">
        <v>766</v>
      </c>
      <c r="D580" s="1">
        <v>30</v>
      </c>
      <c r="E580" s="1">
        <v>5</v>
      </c>
      <c r="F580" s="1" t="s">
        <v>954</v>
      </c>
      <c r="G580" s="1" t="s">
        <v>45</v>
      </c>
      <c r="H580" s="1" t="s">
        <v>24</v>
      </c>
      <c r="I580" s="1" t="s">
        <v>18</v>
      </c>
      <c r="J580" s="1">
        <v>40</v>
      </c>
      <c r="K580" s="1" t="s">
        <v>25</v>
      </c>
      <c r="L580" s="3">
        <v>111575</v>
      </c>
      <c r="M580" s="3">
        <v>111575</v>
      </c>
      <c r="N580" s="1" t="s">
        <v>29</v>
      </c>
      <c r="O580" s="5" t="str" cm="1">
        <f t="array" ref="O580">_xlfn.IFS(Table1[[#This Row],[Age]]&lt;25,"Young",Table1[[#This Row],[Age]]&lt;45,"Adult",Table1[[#This Row],[Age]]&gt;=45,"Old")</f>
        <v>Adult</v>
      </c>
    </row>
    <row r="581" spans="1:15" x14ac:dyDescent="0.25">
      <c r="A581" s="1">
        <v>19550</v>
      </c>
      <c r="B581" s="1" t="s">
        <v>350</v>
      </c>
      <c r="C581" s="1" t="s">
        <v>194</v>
      </c>
      <c r="D581" s="1">
        <v>36</v>
      </c>
      <c r="E581" s="1">
        <v>9</v>
      </c>
      <c r="F581" s="1" t="s">
        <v>953</v>
      </c>
      <c r="G581" s="1" t="s">
        <v>23</v>
      </c>
      <c r="H581" s="1" t="s">
        <v>24</v>
      </c>
      <c r="I581" s="1" t="s">
        <v>18</v>
      </c>
      <c r="J581" s="1">
        <v>20</v>
      </c>
      <c r="K581" s="1" t="s">
        <v>25</v>
      </c>
      <c r="L581" s="3">
        <v>110458</v>
      </c>
      <c r="M581" s="3">
        <v>55229</v>
      </c>
      <c r="N581" s="1" t="s">
        <v>26</v>
      </c>
      <c r="O581" s="5" t="str" cm="1">
        <f t="array" ref="O581">_xlfn.IFS(Table1[[#This Row],[Age]]&lt;25,"Young",Table1[[#This Row],[Age]]&lt;45,"Adult",Table1[[#This Row],[Age]]&gt;=45,"Old")</f>
        <v>Adult</v>
      </c>
    </row>
    <row r="582" spans="1:15" x14ac:dyDescent="0.25">
      <c r="A582" s="1">
        <v>7058</v>
      </c>
      <c r="B582" s="1" t="s">
        <v>767</v>
      </c>
      <c r="C582" s="1" t="s">
        <v>260</v>
      </c>
      <c r="D582" s="1">
        <v>44</v>
      </c>
      <c r="E582" s="1">
        <v>1</v>
      </c>
      <c r="F582" s="1" t="s">
        <v>954</v>
      </c>
      <c r="G582" s="1" t="s">
        <v>23</v>
      </c>
      <c r="H582" s="1" t="s">
        <v>36</v>
      </c>
      <c r="I582" s="1" t="s">
        <v>51</v>
      </c>
      <c r="J582" s="1">
        <v>24</v>
      </c>
      <c r="K582" s="1" t="s">
        <v>42</v>
      </c>
      <c r="L582" s="3">
        <v>68000</v>
      </c>
      <c r="M582" s="3">
        <v>40800</v>
      </c>
      <c r="N582" s="1" t="s">
        <v>29</v>
      </c>
      <c r="O582" s="5" t="str" cm="1">
        <f t="array" ref="O582">_xlfn.IFS(Table1[[#This Row],[Age]]&lt;25,"Young",Table1[[#This Row],[Age]]&lt;45,"Adult",Table1[[#This Row],[Age]]&gt;=45,"Old")</f>
        <v>Adult</v>
      </c>
    </row>
    <row r="583" spans="1:15" x14ac:dyDescent="0.25">
      <c r="A583" s="1">
        <v>13269</v>
      </c>
      <c r="B583" s="1" t="s">
        <v>438</v>
      </c>
      <c r="C583" s="1" t="s">
        <v>768</v>
      </c>
      <c r="D583" s="1">
        <v>26</v>
      </c>
      <c r="E583" s="1">
        <v>6</v>
      </c>
      <c r="F583" s="1" t="s">
        <v>953</v>
      </c>
      <c r="G583" s="1" t="s">
        <v>23</v>
      </c>
      <c r="H583" s="1" t="s">
        <v>24</v>
      </c>
      <c r="I583" s="1" t="s">
        <v>18</v>
      </c>
      <c r="J583" s="1">
        <v>32</v>
      </c>
      <c r="K583" s="1" t="s">
        <v>25</v>
      </c>
      <c r="L583" s="3">
        <v>105840</v>
      </c>
      <c r="M583" s="3">
        <v>84672</v>
      </c>
      <c r="N583" s="1" t="s">
        <v>20</v>
      </c>
      <c r="O583" s="5" t="str" cm="1">
        <f t="array" ref="O583">_xlfn.IFS(Table1[[#This Row],[Age]]&lt;25,"Young",Table1[[#This Row],[Age]]&lt;45,"Adult",Table1[[#This Row],[Age]]&gt;=45,"Old")</f>
        <v>Adult</v>
      </c>
    </row>
    <row r="584" spans="1:15" x14ac:dyDescent="0.25">
      <c r="A584" s="1">
        <v>16886</v>
      </c>
      <c r="B584" s="1" t="s">
        <v>295</v>
      </c>
      <c r="C584" s="1" t="s">
        <v>769</v>
      </c>
      <c r="D584" s="1">
        <v>34</v>
      </c>
      <c r="E584" s="1">
        <v>1</v>
      </c>
      <c r="F584" s="1" t="s">
        <v>954</v>
      </c>
      <c r="G584" s="1" t="s">
        <v>23</v>
      </c>
      <c r="H584" s="1" t="s">
        <v>64</v>
      </c>
      <c r="I584" s="1" t="s">
        <v>18</v>
      </c>
      <c r="J584" s="1">
        <v>16</v>
      </c>
      <c r="K584" s="1" t="s">
        <v>52</v>
      </c>
      <c r="L584" s="3">
        <v>130000</v>
      </c>
      <c r="M584" s="3">
        <v>52000</v>
      </c>
      <c r="N584" s="1" t="s">
        <v>20</v>
      </c>
      <c r="O584" s="5" t="str" cm="1">
        <f t="array" ref="O584">_xlfn.IFS(Table1[[#This Row],[Age]]&lt;25,"Young",Table1[[#This Row],[Age]]&lt;45,"Adult",Table1[[#This Row],[Age]]&gt;=45,"Old")</f>
        <v>Adult</v>
      </c>
    </row>
    <row r="585" spans="1:15" x14ac:dyDescent="0.25">
      <c r="A585" s="1">
        <v>10982</v>
      </c>
      <c r="B585" s="1" t="s">
        <v>523</v>
      </c>
      <c r="C585" s="1" t="s">
        <v>524</v>
      </c>
      <c r="D585" s="1">
        <v>38</v>
      </c>
      <c r="E585" s="1">
        <v>14</v>
      </c>
      <c r="F585" s="1" t="s">
        <v>954</v>
      </c>
      <c r="G585" s="1" t="s">
        <v>45</v>
      </c>
      <c r="H585" s="1" t="s">
        <v>17</v>
      </c>
      <c r="I585" s="1" t="s">
        <v>18</v>
      </c>
      <c r="J585" s="1">
        <v>20</v>
      </c>
      <c r="K585" s="1" t="s">
        <v>19</v>
      </c>
      <c r="L585" s="3">
        <v>115000</v>
      </c>
      <c r="M585" s="3">
        <v>57500</v>
      </c>
      <c r="N585" s="1" t="s">
        <v>29</v>
      </c>
      <c r="O585" s="5" t="str" cm="1">
        <f t="array" ref="O585">_xlfn.IFS(Table1[[#This Row],[Age]]&lt;25,"Young",Table1[[#This Row],[Age]]&lt;45,"Adult",Table1[[#This Row],[Age]]&gt;=45,"Old")</f>
        <v>Adult</v>
      </c>
    </row>
    <row r="586" spans="1:15" x14ac:dyDescent="0.25">
      <c r="A586" s="1">
        <v>13782</v>
      </c>
      <c r="B586" s="1" t="s">
        <v>770</v>
      </c>
      <c r="C586" s="1" t="s">
        <v>771</v>
      </c>
      <c r="D586" s="1">
        <v>42</v>
      </c>
      <c r="E586" s="1">
        <v>18</v>
      </c>
      <c r="F586" s="1" t="s">
        <v>954</v>
      </c>
      <c r="G586" s="1" t="s">
        <v>50</v>
      </c>
      <c r="H586" s="1" t="s">
        <v>36</v>
      </c>
      <c r="I586" s="1" t="s">
        <v>18</v>
      </c>
      <c r="J586" s="1">
        <v>40</v>
      </c>
      <c r="K586" s="1" t="s">
        <v>37</v>
      </c>
      <c r="L586" s="3">
        <v>89889</v>
      </c>
      <c r="M586" s="3">
        <v>89889</v>
      </c>
      <c r="N586" s="1" t="s">
        <v>29</v>
      </c>
      <c r="O586" s="5" t="str" cm="1">
        <f t="array" ref="O586">_xlfn.IFS(Table1[[#This Row],[Age]]&lt;25,"Young",Table1[[#This Row],[Age]]&lt;45,"Adult",Table1[[#This Row],[Age]]&gt;=45,"Old")</f>
        <v>Adult</v>
      </c>
    </row>
    <row r="587" spans="1:15" x14ac:dyDescent="0.25">
      <c r="A587" s="1">
        <v>8681</v>
      </c>
      <c r="B587" s="1" t="s">
        <v>772</v>
      </c>
      <c r="C587" s="1" t="s">
        <v>90</v>
      </c>
      <c r="D587" s="1">
        <v>31</v>
      </c>
      <c r="E587" s="1">
        <v>11</v>
      </c>
      <c r="F587" s="1" t="s">
        <v>954</v>
      </c>
      <c r="G587" s="1" t="s">
        <v>35</v>
      </c>
      <c r="H587" s="1" t="s">
        <v>32</v>
      </c>
      <c r="I587" s="1" t="s">
        <v>18</v>
      </c>
      <c r="J587" s="1">
        <v>20</v>
      </c>
      <c r="K587" s="1" t="s">
        <v>42</v>
      </c>
      <c r="L587" s="3">
        <v>68000</v>
      </c>
      <c r="M587" s="3">
        <v>34000</v>
      </c>
      <c r="N587" s="1" t="s">
        <v>29</v>
      </c>
      <c r="O587" s="5" t="str" cm="1">
        <f t="array" ref="O587">_xlfn.IFS(Table1[[#This Row],[Age]]&lt;25,"Young",Table1[[#This Row],[Age]]&lt;45,"Adult",Table1[[#This Row],[Age]]&gt;=45,"Old")</f>
        <v>Adult</v>
      </c>
    </row>
    <row r="588" spans="1:15" x14ac:dyDescent="0.25">
      <c r="A588" s="1">
        <v>5522</v>
      </c>
      <c r="B588" s="1" t="s">
        <v>773</v>
      </c>
      <c r="C588" s="1" t="s">
        <v>65</v>
      </c>
      <c r="D588" s="1">
        <v>42</v>
      </c>
      <c r="E588" s="1">
        <v>8</v>
      </c>
      <c r="F588" s="1" t="s">
        <v>953</v>
      </c>
      <c r="G588" s="1" t="s">
        <v>23</v>
      </c>
      <c r="H588" s="1" t="s">
        <v>192</v>
      </c>
      <c r="I588" s="1" t="s">
        <v>51</v>
      </c>
      <c r="J588" s="1">
        <v>32</v>
      </c>
      <c r="K588" s="1" t="s">
        <v>25</v>
      </c>
      <c r="L588" s="3">
        <v>105840</v>
      </c>
      <c r="M588" s="3">
        <v>84672</v>
      </c>
      <c r="N588" s="1" t="s">
        <v>20</v>
      </c>
      <c r="O588" s="5" t="str" cm="1">
        <f t="array" ref="O588">_xlfn.IFS(Table1[[#This Row],[Age]]&lt;25,"Young",Table1[[#This Row],[Age]]&lt;45,"Adult",Table1[[#This Row],[Age]]&gt;=45,"Old")</f>
        <v>Adult</v>
      </c>
    </row>
    <row r="589" spans="1:15" x14ac:dyDescent="0.25">
      <c r="A589" s="1">
        <v>5751</v>
      </c>
      <c r="B589" s="1" t="s">
        <v>639</v>
      </c>
      <c r="C589" s="1" t="s">
        <v>640</v>
      </c>
      <c r="D589" s="1">
        <v>42</v>
      </c>
      <c r="E589" s="1">
        <v>21</v>
      </c>
      <c r="F589" s="1" t="s">
        <v>953</v>
      </c>
      <c r="G589" s="1" t="s">
        <v>23</v>
      </c>
      <c r="H589" s="1" t="s">
        <v>24</v>
      </c>
      <c r="I589" s="1" t="s">
        <v>18</v>
      </c>
      <c r="J589" s="1">
        <v>20</v>
      </c>
      <c r="K589" s="1" t="s">
        <v>25</v>
      </c>
      <c r="L589" s="3">
        <v>122000</v>
      </c>
      <c r="M589" s="3">
        <v>61000</v>
      </c>
      <c r="N589" s="1" t="s">
        <v>26</v>
      </c>
      <c r="O589" s="5" t="str" cm="1">
        <f t="array" ref="O589">_xlfn.IFS(Table1[[#This Row],[Age]]&lt;25,"Young",Table1[[#This Row],[Age]]&lt;45,"Adult",Table1[[#This Row],[Age]]&gt;=45,"Old")</f>
        <v>Adult</v>
      </c>
    </row>
    <row r="590" spans="1:15" x14ac:dyDescent="0.25">
      <c r="A590" s="1">
        <v>22184</v>
      </c>
      <c r="B590" s="1" t="s">
        <v>286</v>
      </c>
      <c r="C590" s="1" t="s">
        <v>31</v>
      </c>
      <c r="D590" s="1">
        <v>64</v>
      </c>
      <c r="E590" s="1">
        <v>29</v>
      </c>
      <c r="F590" s="1" t="s">
        <v>953</v>
      </c>
      <c r="G590" s="1" t="s">
        <v>50</v>
      </c>
      <c r="H590" s="1" t="s">
        <v>32</v>
      </c>
      <c r="I590" s="1" t="s">
        <v>18</v>
      </c>
      <c r="J590" s="1">
        <v>40</v>
      </c>
      <c r="K590" s="1" t="s">
        <v>37</v>
      </c>
      <c r="L590" s="3">
        <v>92065</v>
      </c>
      <c r="M590" s="3">
        <v>92065</v>
      </c>
      <c r="N590" s="1" t="s">
        <v>29</v>
      </c>
      <c r="O590" s="5" t="str" cm="1">
        <f t="array" ref="O590">_xlfn.IFS(Table1[[#This Row],[Age]]&lt;25,"Young",Table1[[#This Row],[Age]]&lt;45,"Adult",Table1[[#This Row],[Age]]&gt;=45,"Old")</f>
        <v>Old</v>
      </c>
    </row>
    <row r="591" spans="1:15" x14ac:dyDescent="0.25">
      <c r="A591" s="1">
        <v>868</v>
      </c>
      <c r="B591" s="1" t="s">
        <v>774</v>
      </c>
      <c r="C591" s="1" t="s">
        <v>212</v>
      </c>
      <c r="D591" s="1">
        <v>47</v>
      </c>
      <c r="E591" s="1">
        <v>15</v>
      </c>
      <c r="F591" s="1" t="s">
        <v>954</v>
      </c>
      <c r="G591" s="1" t="s">
        <v>50</v>
      </c>
      <c r="H591" s="1" t="s">
        <v>24</v>
      </c>
      <c r="I591" s="1" t="s">
        <v>51</v>
      </c>
      <c r="J591" s="1">
        <v>32</v>
      </c>
      <c r="K591" s="1" t="s">
        <v>37</v>
      </c>
      <c r="L591" s="3">
        <v>85000</v>
      </c>
      <c r="M591" s="3">
        <v>68000</v>
      </c>
      <c r="N591" s="1" t="s">
        <v>20</v>
      </c>
      <c r="O591" s="5" t="str" cm="1">
        <f t="array" ref="O591">_xlfn.IFS(Table1[[#This Row],[Age]]&lt;25,"Young",Table1[[#This Row],[Age]]&lt;45,"Adult",Table1[[#This Row],[Age]]&gt;=45,"Old")</f>
        <v>Old</v>
      </c>
    </row>
    <row r="592" spans="1:15" x14ac:dyDescent="0.25">
      <c r="A592" s="1">
        <v>4179</v>
      </c>
      <c r="B592" s="1" t="s">
        <v>320</v>
      </c>
      <c r="C592" s="1" t="s">
        <v>500</v>
      </c>
      <c r="D592" s="1">
        <v>32</v>
      </c>
      <c r="E592" s="1">
        <v>4</v>
      </c>
      <c r="F592" s="1" t="s">
        <v>953</v>
      </c>
      <c r="G592" s="1" t="s">
        <v>23</v>
      </c>
      <c r="H592" s="1" t="s">
        <v>36</v>
      </c>
      <c r="I592" s="1" t="s">
        <v>18</v>
      </c>
      <c r="J592" s="1">
        <v>24</v>
      </c>
      <c r="K592" s="1" t="s">
        <v>42</v>
      </c>
      <c r="L592" s="3">
        <v>73440</v>
      </c>
      <c r="M592" s="3">
        <v>44064</v>
      </c>
      <c r="N592" s="1" t="s">
        <v>29</v>
      </c>
      <c r="O592" s="5" t="str" cm="1">
        <f t="array" ref="O592">_xlfn.IFS(Table1[[#This Row],[Age]]&lt;25,"Young",Table1[[#This Row],[Age]]&lt;45,"Adult",Table1[[#This Row],[Age]]&gt;=45,"Old")</f>
        <v>Adult</v>
      </c>
    </row>
    <row r="593" spans="1:15" x14ac:dyDescent="0.25">
      <c r="A593" s="1">
        <v>14618</v>
      </c>
      <c r="B593" s="1" t="s">
        <v>419</v>
      </c>
      <c r="C593" s="1" t="s">
        <v>689</v>
      </c>
      <c r="D593" s="1">
        <v>65</v>
      </c>
      <c r="E593" s="1">
        <v>18</v>
      </c>
      <c r="F593" s="1" t="s">
        <v>953</v>
      </c>
      <c r="G593" s="1" t="s">
        <v>16</v>
      </c>
      <c r="H593" s="1" t="s">
        <v>24</v>
      </c>
      <c r="I593" s="1" t="s">
        <v>18</v>
      </c>
      <c r="J593" s="1">
        <v>40</v>
      </c>
      <c r="K593" s="1" t="s">
        <v>37</v>
      </c>
      <c r="L593" s="3">
        <v>107000</v>
      </c>
      <c r="M593" s="3">
        <v>107000</v>
      </c>
      <c r="N593" s="1" t="s">
        <v>26</v>
      </c>
      <c r="O593" s="5" t="str" cm="1">
        <f t="array" ref="O593">_xlfn.IFS(Table1[[#This Row],[Age]]&lt;25,"Young",Table1[[#This Row],[Age]]&lt;45,"Adult",Table1[[#This Row],[Age]]&gt;=45,"Old")</f>
        <v>Old</v>
      </c>
    </row>
    <row r="594" spans="1:15" x14ac:dyDescent="0.25">
      <c r="A594" s="1">
        <v>1716</v>
      </c>
      <c r="B594" s="1" t="s">
        <v>381</v>
      </c>
      <c r="C594" s="1" t="s">
        <v>382</v>
      </c>
      <c r="D594" s="1">
        <v>43</v>
      </c>
      <c r="E594" s="1">
        <v>10</v>
      </c>
      <c r="F594" s="1" t="s">
        <v>953</v>
      </c>
      <c r="G594" s="1" t="s">
        <v>16</v>
      </c>
      <c r="H594" s="1" t="s">
        <v>17</v>
      </c>
      <c r="I594" s="1" t="s">
        <v>18</v>
      </c>
      <c r="J594" s="1">
        <v>20</v>
      </c>
      <c r="K594" s="1" t="s">
        <v>37</v>
      </c>
      <c r="L594" s="3">
        <v>107000</v>
      </c>
      <c r="M594" s="3">
        <v>53500</v>
      </c>
      <c r="N594" s="1" t="s">
        <v>26</v>
      </c>
      <c r="O594" s="5" t="str" cm="1">
        <f t="array" ref="O594">_xlfn.IFS(Table1[[#This Row],[Age]]&lt;25,"Young",Table1[[#This Row],[Age]]&lt;45,"Adult",Table1[[#This Row],[Age]]&gt;=45,"Old")</f>
        <v>Adult</v>
      </c>
    </row>
    <row r="595" spans="1:15" x14ac:dyDescent="0.25">
      <c r="A595" s="1">
        <v>7857</v>
      </c>
      <c r="B595" s="1" t="s">
        <v>255</v>
      </c>
      <c r="C595" s="1" t="s">
        <v>775</v>
      </c>
      <c r="D595" s="1">
        <v>27</v>
      </c>
      <c r="E595" s="1">
        <v>6</v>
      </c>
      <c r="F595" s="1" t="s">
        <v>953</v>
      </c>
      <c r="G595" s="1" t="s">
        <v>23</v>
      </c>
      <c r="H595" s="1" t="s">
        <v>32</v>
      </c>
      <c r="I595" s="1" t="s">
        <v>18</v>
      </c>
      <c r="J595" s="1">
        <v>40</v>
      </c>
      <c r="K595" s="1" t="s">
        <v>25</v>
      </c>
      <c r="L595" s="3">
        <v>118039</v>
      </c>
      <c r="M595" s="3">
        <v>118039</v>
      </c>
      <c r="N595" s="1" t="s">
        <v>26</v>
      </c>
      <c r="O595" s="5" t="str" cm="1">
        <f t="array" ref="O595">_xlfn.IFS(Table1[[#This Row],[Age]]&lt;25,"Young",Table1[[#This Row],[Age]]&lt;45,"Adult",Table1[[#This Row],[Age]]&gt;=45,"Old")</f>
        <v>Adult</v>
      </c>
    </row>
    <row r="596" spans="1:15" x14ac:dyDescent="0.25">
      <c r="A596" s="1">
        <v>6450</v>
      </c>
      <c r="B596" s="1" t="s">
        <v>620</v>
      </c>
      <c r="C596" s="1" t="s">
        <v>693</v>
      </c>
      <c r="D596" s="1">
        <v>46</v>
      </c>
      <c r="E596" s="1">
        <v>27</v>
      </c>
      <c r="F596" s="1" t="s">
        <v>953</v>
      </c>
      <c r="G596" s="1" t="s">
        <v>16</v>
      </c>
      <c r="H596" s="1" t="s">
        <v>24</v>
      </c>
      <c r="I596" s="1" t="s">
        <v>18</v>
      </c>
      <c r="J596" s="1">
        <v>40</v>
      </c>
      <c r="K596" s="1" t="s">
        <v>37</v>
      </c>
      <c r="L596" s="3">
        <v>93317</v>
      </c>
      <c r="M596" s="3">
        <v>93317</v>
      </c>
      <c r="N596" s="1" t="s">
        <v>29</v>
      </c>
      <c r="O596" s="5" t="str" cm="1">
        <f t="array" ref="O596">_xlfn.IFS(Table1[[#This Row],[Age]]&lt;25,"Young",Table1[[#This Row],[Age]]&lt;45,"Adult",Table1[[#This Row],[Age]]&gt;=45,"Old")</f>
        <v>Old</v>
      </c>
    </row>
    <row r="597" spans="1:15" x14ac:dyDescent="0.25">
      <c r="A597" s="1">
        <v>17659</v>
      </c>
      <c r="B597" s="1" t="s">
        <v>98</v>
      </c>
      <c r="C597" s="1" t="s">
        <v>489</v>
      </c>
      <c r="D597" s="1">
        <v>42</v>
      </c>
      <c r="E597" s="1">
        <v>13</v>
      </c>
      <c r="F597" s="1" t="s">
        <v>953</v>
      </c>
      <c r="G597" s="1" t="s">
        <v>23</v>
      </c>
      <c r="H597" s="1" t="s">
        <v>64</v>
      </c>
      <c r="I597" s="1" t="s">
        <v>51</v>
      </c>
      <c r="J597" s="1">
        <v>24</v>
      </c>
      <c r="K597" s="1" t="s">
        <v>19</v>
      </c>
      <c r="L597" s="3">
        <v>124200</v>
      </c>
      <c r="M597" s="3">
        <v>74520</v>
      </c>
      <c r="N597" s="1" t="s">
        <v>29</v>
      </c>
      <c r="O597" s="5" t="str" cm="1">
        <f t="array" ref="O597">_xlfn.IFS(Table1[[#This Row],[Age]]&lt;25,"Young",Table1[[#This Row],[Age]]&lt;45,"Adult",Table1[[#This Row],[Age]]&gt;=45,"Old")</f>
        <v>Adult</v>
      </c>
    </row>
    <row r="598" spans="1:15" x14ac:dyDescent="0.25">
      <c r="A598" s="1">
        <v>15909</v>
      </c>
      <c r="B598" s="1" t="s">
        <v>776</v>
      </c>
      <c r="C598" s="1" t="s">
        <v>777</v>
      </c>
      <c r="D598" s="1">
        <v>26</v>
      </c>
      <c r="E598" s="1">
        <v>8</v>
      </c>
      <c r="F598" s="1" t="s">
        <v>954</v>
      </c>
      <c r="G598" s="1" t="s">
        <v>50</v>
      </c>
      <c r="H598" s="1" t="s">
        <v>32</v>
      </c>
      <c r="I598" s="1" t="s">
        <v>18</v>
      </c>
      <c r="J598" s="1">
        <v>40</v>
      </c>
      <c r="K598" s="1" t="s">
        <v>37</v>
      </c>
      <c r="L598" s="3">
        <v>87471</v>
      </c>
      <c r="M598" s="3">
        <v>87471</v>
      </c>
      <c r="N598" s="1" t="s">
        <v>29</v>
      </c>
      <c r="O598" s="5" t="str" cm="1">
        <f t="array" ref="O598">_xlfn.IFS(Table1[[#This Row],[Age]]&lt;25,"Young",Table1[[#This Row],[Age]]&lt;45,"Adult",Table1[[#This Row],[Age]]&gt;=45,"Old")</f>
        <v>Adult</v>
      </c>
    </row>
    <row r="599" spans="1:15" x14ac:dyDescent="0.25">
      <c r="A599" s="1">
        <v>2332</v>
      </c>
      <c r="B599" s="1" t="s">
        <v>106</v>
      </c>
      <c r="C599" s="1" t="s">
        <v>104</v>
      </c>
      <c r="D599" s="1">
        <v>49</v>
      </c>
      <c r="E599" s="1">
        <v>8</v>
      </c>
      <c r="F599" s="1" t="s">
        <v>953</v>
      </c>
      <c r="G599" s="1" t="s">
        <v>50</v>
      </c>
      <c r="H599" s="1" t="s">
        <v>36</v>
      </c>
      <c r="I599" s="1" t="s">
        <v>51</v>
      </c>
      <c r="J599" s="1">
        <v>24</v>
      </c>
      <c r="K599" s="1" t="s">
        <v>42</v>
      </c>
      <c r="L599" s="3">
        <v>73440</v>
      </c>
      <c r="M599" s="3">
        <v>44064</v>
      </c>
      <c r="N599" s="1" t="s">
        <v>20</v>
      </c>
      <c r="O599" s="5" t="str" cm="1">
        <f t="array" ref="O599">_xlfn.IFS(Table1[[#This Row],[Age]]&lt;25,"Young",Table1[[#This Row],[Age]]&lt;45,"Adult",Table1[[#This Row],[Age]]&gt;=45,"Old")</f>
        <v>Old</v>
      </c>
    </row>
    <row r="600" spans="1:15" x14ac:dyDescent="0.25">
      <c r="A600" s="1">
        <v>18952</v>
      </c>
      <c r="B600" s="1" t="s">
        <v>46</v>
      </c>
      <c r="C600" s="1" t="s">
        <v>399</v>
      </c>
      <c r="D600" s="1">
        <v>35</v>
      </c>
      <c r="E600" s="1">
        <v>13</v>
      </c>
      <c r="F600" s="1" t="s">
        <v>953</v>
      </c>
      <c r="G600" s="1" t="s">
        <v>35</v>
      </c>
      <c r="H600" s="1" t="s">
        <v>36</v>
      </c>
      <c r="I600" s="1" t="s">
        <v>18</v>
      </c>
      <c r="J600" s="1">
        <v>40</v>
      </c>
      <c r="K600" s="1" t="s">
        <v>37</v>
      </c>
      <c r="L600" s="3">
        <v>92944</v>
      </c>
      <c r="M600" s="3">
        <v>92944</v>
      </c>
      <c r="N600" s="1" t="s">
        <v>29</v>
      </c>
      <c r="O600" s="5" t="str" cm="1">
        <f t="array" ref="O600">_xlfn.IFS(Table1[[#This Row],[Age]]&lt;25,"Young",Table1[[#This Row],[Age]]&lt;45,"Adult",Table1[[#This Row],[Age]]&gt;=45,"Old")</f>
        <v>Adult</v>
      </c>
    </row>
    <row r="601" spans="1:15" x14ac:dyDescent="0.25">
      <c r="A601" s="1">
        <v>8852</v>
      </c>
      <c r="B601" s="1" t="s">
        <v>778</v>
      </c>
      <c r="C601" s="1" t="s">
        <v>72</v>
      </c>
      <c r="D601" s="1">
        <v>45</v>
      </c>
      <c r="E601" s="1">
        <v>21</v>
      </c>
      <c r="F601" s="1" t="s">
        <v>953</v>
      </c>
      <c r="G601" s="1" t="s">
        <v>23</v>
      </c>
      <c r="H601" s="1" t="s">
        <v>24</v>
      </c>
      <c r="I601" s="1" t="s">
        <v>18</v>
      </c>
      <c r="J601" s="1">
        <v>40</v>
      </c>
      <c r="K601" s="1" t="s">
        <v>25</v>
      </c>
      <c r="L601" s="3">
        <v>122000</v>
      </c>
      <c r="M601" s="3">
        <v>122000</v>
      </c>
      <c r="N601" s="1" t="s">
        <v>26</v>
      </c>
      <c r="O601" s="5" t="str" cm="1">
        <f t="array" ref="O601">_xlfn.IFS(Table1[[#This Row],[Age]]&lt;25,"Young",Table1[[#This Row],[Age]]&lt;45,"Adult",Table1[[#This Row],[Age]]&gt;=45,"Old")</f>
        <v>Old</v>
      </c>
    </row>
    <row r="602" spans="1:15" x14ac:dyDescent="0.25">
      <c r="A602" s="1">
        <v>4663</v>
      </c>
      <c r="B602" s="1" t="s">
        <v>779</v>
      </c>
      <c r="C602" s="1" t="s">
        <v>780</v>
      </c>
      <c r="D602" s="1">
        <v>47</v>
      </c>
      <c r="E602" s="1">
        <v>2</v>
      </c>
      <c r="F602" s="1" t="s">
        <v>954</v>
      </c>
      <c r="G602" s="1" t="s">
        <v>45</v>
      </c>
      <c r="H602" s="1" t="s">
        <v>36</v>
      </c>
      <c r="I602" s="1" t="s">
        <v>18</v>
      </c>
      <c r="J602" s="1">
        <v>40</v>
      </c>
      <c r="K602" s="1" t="s">
        <v>25</v>
      </c>
      <c r="L602" s="3">
        <v>103082</v>
      </c>
      <c r="M602" s="3">
        <v>103082</v>
      </c>
      <c r="N602" s="1" t="s">
        <v>26</v>
      </c>
      <c r="O602" s="5" t="str" cm="1">
        <f t="array" ref="O602">_xlfn.IFS(Table1[[#This Row],[Age]]&lt;25,"Young",Table1[[#This Row],[Age]]&lt;45,"Adult",Table1[[#This Row],[Age]]&gt;=45,"Old")</f>
        <v>Old</v>
      </c>
    </row>
    <row r="603" spans="1:15" x14ac:dyDescent="0.25">
      <c r="A603" s="1">
        <v>15644</v>
      </c>
      <c r="B603" s="1" t="s">
        <v>781</v>
      </c>
      <c r="C603" s="1" t="s">
        <v>360</v>
      </c>
      <c r="D603" s="1">
        <v>27</v>
      </c>
      <c r="E603" s="1">
        <v>3</v>
      </c>
      <c r="F603" s="1" t="s">
        <v>954</v>
      </c>
      <c r="G603" s="1" t="s">
        <v>35</v>
      </c>
      <c r="H603" s="1" t="s">
        <v>36</v>
      </c>
      <c r="I603" s="1" t="s">
        <v>18</v>
      </c>
      <c r="J603" s="1">
        <v>32</v>
      </c>
      <c r="K603" s="1" t="s">
        <v>42</v>
      </c>
      <c r="L603" s="3">
        <v>68000</v>
      </c>
      <c r="M603" s="3">
        <v>54400</v>
      </c>
      <c r="N603" s="1" t="s">
        <v>20</v>
      </c>
      <c r="O603" s="5" t="str" cm="1">
        <f t="array" ref="O603">_xlfn.IFS(Table1[[#This Row],[Age]]&lt;25,"Young",Table1[[#This Row],[Age]]&lt;45,"Adult",Table1[[#This Row],[Age]]&gt;=45,"Old")</f>
        <v>Adult</v>
      </c>
    </row>
    <row r="604" spans="1:15" x14ac:dyDescent="0.25">
      <c r="A604" s="1">
        <v>5056</v>
      </c>
      <c r="B604" s="1" t="s">
        <v>117</v>
      </c>
      <c r="C604" s="1" t="s">
        <v>782</v>
      </c>
      <c r="D604" s="1">
        <v>53</v>
      </c>
      <c r="E604" s="1">
        <v>16</v>
      </c>
      <c r="F604" s="1" t="s">
        <v>953</v>
      </c>
      <c r="G604" s="1" t="s">
        <v>35</v>
      </c>
      <c r="H604" s="1" t="s">
        <v>32</v>
      </c>
      <c r="I604" s="1" t="s">
        <v>18</v>
      </c>
      <c r="J604" s="1">
        <v>40</v>
      </c>
      <c r="K604" s="1" t="s">
        <v>25</v>
      </c>
      <c r="L604" s="3">
        <v>122000</v>
      </c>
      <c r="M604" s="3">
        <v>122000</v>
      </c>
      <c r="N604" s="1" t="s">
        <v>29</v>
      </c>
      <c r="O604" s="5" t="str" cm="1">
        <f t="array" ref="O604">_xlfn.IFS(Table1[[#This Row],[Age]]&lt;25,"Young",Table1[[#This Row],[Age]]&lt;45,"Adult",Table1[[#This Row],[Age]]&gt;=45,"Old")</f>
        <v>Old</v>
      </c>
    </row>
    <row r="605" spans="1:15" x14ac:dyDescent="0.25">
      <c r="A605" s="1">
        <v>15912</v>
      </c>
      <c r="B605" s="1" t="s">
        <v>783</v>
      </c>
      <c r="C605" s="1" t="s">
        <v>784</v>
      </c>
      <c r="D605" s="1">
        <v>55</v>
      </c>
      <c r="E605" s="1">
        <v>31</v>
      </c>
      <c r="F605" s="1" t="s">
        <v>954</v>
      </c>
      <c r="G605" s="1" t="s">
        <v>16</v>
      </c>
      <c r="H605" s="1" t="s">
        <v>32</v>
      </c>
      <c r="I605" s="1" t="s">
        <v>18</v>
      </c>
      <c r="J605" s="1">
        <v>40</v>
      </c>
      <c r="K605" s="1" t="s">
        <v>37</v>
      </c>
      <c r="L605" s="3">
        <v>85000</v>
      </c>
      <c r="M605" s="3">
        <v>85000</v>
      </c>
      <c r="N605" s="1" t="s">
        <v>29</v>
      </c>
      <c r="O605" s="5" t="str" cm="1">
        <f t="array" ref="O605">_xlfn.IFS(Table1[[#This Row],[Age]]&lt;25,"Young",Table1[[#This Row],[Age]]&lt;45,"Adult",Table1[[#This Row],[Age]]&gt;=45,"Old")</f>
        <v>Old</v>
      </c>
    </row>
    <row r="606" spans="1:15" x14ac:dyDescent="0.25">
      <c r="A606" s="1">
        <v>22562</v>
      </c>
      <c r="B606" s="1" t="s">
        <v>350</v>
      </c>
      <c r="C606" s="1" t="s">
        <v>785</v>
      </c>
      <c r="D606" s="1">
        <v>55</v>
      </c>
      <c r="E606" s="1">
        <v>15</v>
      </c>
      <c r="F606" s="1" t="s">
        <v>953</v>
      </c>
      <c r="G606" s="1" t="s">
        <v>16</v>
      </c>
      <c r="H606" s="1" t="s">
        <v>32</v>
      </c>
      <c r="I606" s="1" t="s">
        <v>18</v>
      </c>
      <c r="J606" s="1">
        <v>40</v>
      </c>
      <c r="K606" s="1" t="s">
        <v>37</v>
      </c>
      <c r="L606" s="3">
        <v>98998</v>
      </c>
      <c r="M606" s="3">
        <v>98998</v>
      </c>
      <c r="N606" s="1" t="s">
        <v>29</v>
      </c>
      <c r="O606" s="5" t="str" cm="1">
        <f t="array" ref="O606">_xlfn.IFS(Table1[[#This Row],[Age]]&lt;25,"Young",Table1[[#This Row],[Age]]&lt;45,"Adult",Table1[[#This Row],[Age]]&gt;=45,"Old")</f>
        <v>Old</v>
      </c>
    </row>
    <row r="607" spans="1:15" x14ac:dyDescent="0.25">
      <c r="A607" s="1">
        <v>18091</v>
      </c>
      <c r="B607" s="1" t="s">
        <v>91</v>
      </c>
      <c r="C607" s="1" t="s">
        <v>61</v>
      </c>
      <c r="D607" s="1">
        <v>41</v>
      </c>
      <c r="E607" s="1">
        <v>1</v>
      </c>
      <c r="F607" s="1" t="s">
        <v>954</v>
      </c>
      <c r="G607" s="1" t="s">
        <v>23</v>
      </c>
      <c r="H607" s="1" t="s">
        <v>64</v>
      </c>
      <c r="I607" s="1" t="s">
        <v>18</v>
      </c>
      <c r="J607" s="1">
        <v>16</v>
      </c>
      <c r="K607" s="1" t="s">
        <v>19</v>
      </c>
      <c r="L607" s="3">
        <v>115000</v>
      </c>
      <c r="M607" s="3">
        <v>46000</v>
      </c>
      <c r="N607" s="1" t="s">
        <v>20</v>
      </c>
      <c r="O607" s="5" t="str" cm="1">
        <f t="array" ref="O607">_xlfn.IFS(Table1[[#This Row],[Age]]&lt;25,"Young",Table1[[#This Row],[Age]]&lt;45,"Adult",Table1[[#This Row],[Age]]&gt;=45,"Old")</f>
        <v>Adult</v>
      </c>
    </row>
    <row r="608" spans="1:15" x14ac:dyDescent="0.25">
      <c r="A608" s="1">
        <v>19001</v>
      </c>
      <c r="B608" s="1" t="s">
        <v>171</v>
      </c>
      <c r="C608" s="1" t="s">
        <v>658</v>
      </c>
      <c r="D608" s="1">
        <v>27</v>
      </c>
      <c r="E608" s="1">
        <v>7</v>
      </c>
      <c r="F608" s="1" t="s">
        <v>953</v>
      </c>
      <c r="G608" s="1" t="s">
        <v>16</v>
      </c>
      <c r="H608" s="1" t="s">
        <v>32</v>
      </c>
      <c r="I608" s="1" t="s">
        <v>18</v>
      </c>
      <c r="J608" s="1">
        <v>40</v>
      </c>
      <c r="K608" s="1" t="s">
        <v>25</v>
      </c>
      <c r="L608" s="3">
        <v>122000</v>
      </c>
      <c r="M608" s="3">
        <v>122000</v>
      </c>
      <c r="N608" s="1" t="s">
        <v>26</v>
      </c>
      <c r="O608" s="5" t="str" cm="1">
        <f t="array" ref="O608">_xlfn.IFS(Table1[[#This Row],[Age]]&lt;25,"Young",Table1[[#This Row],[Age]]&lt;45,"Adult",Table1[[#This Row],[Age]]&gt;=45,"Old")</f>
        <v>Adult</v>
      </c>
    </row>
    <row r="609" spans="1:15" x14ac:dyDescent="0.25">
      <c r="A609" s="1">
        <v>20198</v>
      </c>
      <c r="B609" s="1" t="s">
        <v>114</v>
      </c>
      <c r="C609" s="1" t="s">
        <v>773</v>
      </c>
      <c r="D609" s="1">
        <v>31</v>
      </c>
      <c r="E609" s="1">
        <v>5</v>
      </c>
      <c r="F609" s="1" t="s">
        <v>954</v>
      </c>
      <c r="G609" s="1" t="s">
        <v>35</v>
      </c>
      <c r="H609" s="1" t="s">
        <v>36</v>
      </c>
      <c r="I609" s="1" t="s">
        <v>18</v>
      </c>
      <c r="J609" s="1">
        <v>32</v>
      </c>
      <c r="K609" s="1" t="s">
        <v>19</v>
      </c>
      <c r="L609" s="3">
        <v>115000</v>
      </c>
      <c r="M609" s="3">
        <v>92000</v>
      </c>
      <c r="N609" s="1" t="s">
        <v>26</v>
      </c>
      <c r="O609" s="5" t="str" cm="1">
        <f t="array" ref="O609">_xlfn.IFS(Table1[[#This Row],[Age]]&lt;25,"Young",Table1[[#This Row],[Age]]&lt;45,"Adult",Table1[[#This Row],[Age]]&gt;=45,"Old")</f>
        <v>Adult</v>
      </c>
    </row>
    <row r="610" spans="1:15" x14ac:dyDescent="0.25">
      <c r="A610" s="1">
        <v>11084</v>
      </c>
      <c r="B610" s="1" t="s">
        <v>307</v>
      </c>
      <c r="C610" s="1" t="s">
        <v>559</v>
      </c>
      <c r="D610" s="1">
        <v>41</v>
      </c>
      <c r="E610" s="1">
        <v>8</v>
      </c>
      <c r="F610" s="1" t="s">
        <v>954</v>
      </c>
      <c r="G610" s="1" t="s">
        <v>16</v>
      </c>
      <c r="H610" s="1" t="s">
        <v>64</v>
      </c>
      <c r="I610" s="1" t="s">
        <v>18</v>
      </c>
      <c r="J610" s="1">
        <v>40</v>
      </c>
      <c r="K610" s="1" t="s">
        <v>19</v>
      </c>
      <c r="L610" s="3">
        <v>117443</v>
      </c>
      <c r="M610" s="3">
        <v>117443</v>
      </c>
      <c r="N610" s="1" t="s">
        <v>20</v>
      </c>
      <c r="O610" s="5" t="str" cm="1">
        <f t="array" ref="O610">_xlfn.IFS(Table1[[#This Row],[Age]]&lt;25,"Young",Table1[[#This Row],[Age]]&lt;45,"Adult",Table1[[#This Row],[Age]]&gt;=45,"Old")</f>
        <v>Adult</v>
      </c>
    </row>
    <row r="611" spans="1:15" x14ac:dyDescent="0.25">
      <c r="A611" s="1">
        <v>15189</v>
      </c>
      <c r="B611" s="1" t="s">
        <v>370</v>
      </c>
      <c r="C611" s="1" t="s">
        <v>786</v>
      </c>
      <c r="D611" s="1">
        <v>39</v>
      </c>
      <c r="E611" s="1">
        <v>18</v>
      </c>
      <c r="F611" s="1" t="s">
        <v>953</v>
      </c>
      <c r="G611" s="1" t="s">
        <v>23</v>
      </c>
      <c r="H611" s="1" t="s">
        <v>24</v>
      </c>
      <c r="I611" s="1" t="s">
        <v>18</v>
      </c>
      <c r="J611" s="1">
        <v>40</v>
      </c>
      <c r="K611" s="1" t="s">
        <v>25</v>
      </c>
      <c r="L611" s="3">
        <v>118472</v>
      </c>
      <c r="M611" s="3">
        <v>118472</v>
      </c>
      <c r="N611" s="1" t="s">
        <v>26</v>
      </c>
      <c r="O611" s="5" t="str" cm="1">
        <f t="array" ref="O611">_xlfn.IFS(Table1[[#This Row],[Age]]&lt;25,"Young",Table1[[#This Row],[Age]]&lt;45,"Adult",Table1[[#This Row],[Age]]&gt;=45,"Old")</f>
        <v>Adult</v>
      </c>
    </row>
    <row r="612" spans="1:15" x14ac:dyDescent="0.25">
      <c r="A612" s="1">
        <v>20762</v>
      </c>
      <c r="B612" s="1" t="s">
        <v>787</v>
      </c>
      <c r="C612" s="1" t="s">
        <v>788</v>
      </c>
      <c r="D612" s="1">
        <v>30</v>
      </c>
      <c r="E612" s="1">
        <v>4</v>
      </c>
      <c r="F612" s="1" t="s">
        <v>953</v>
      </c>
      <c r="G612" s="1" t="s">
        <v>23</v>
      </c>
      <c r="H612" s="1" t="s">
        <v>32</v>
      </c>
      <c r="I612" s="1" t="s">
        <v>18</v>
      </c>
      <c r="J612" s="1">
        <v>40</v>
      </c>
      <c r="K612" s="1" t="s">
        <v>37</v>
      </c>
      <c r="L612" s="3">
        <v>96506</v>
      </c>
      <c r="M612" s="3">
        <v>96506</v>
      </c>
      <c r="N612" s="1" t="s">
        <v>29</v>
      </c>
      <c r="O612" s="5" t="str" cm="1">
        <f t="array" ref="O612">_xlfn.IFS(Table1[[#This Row],[Age]]&lt;25,"Young",Table1[[#This Row],[Age]]&lt;45,"Adult",Table1[[#This Row],[Age]]&gt;=45,"Old")</f>
        <v>Adult</v>
      </c>
    </row>
    <row r="613" spans="1:15" x14ac:dyDescent="0.25">
      <c r="A613" s="1">
        <v>17227</v>
      </c>
      <c r="B613" s="1" t="s">
        <v>789</v>
      </c>
      <c r="C613" s="1" t="s">
        <v>188</v>
      </c>
      <c r="D613" s="1">
        <v>58</v>
      </c>
      <c r="E613" s="1">
        <v>26</v>
      </c>
      <c r="F613" s="1" t="s">
        <v>954</v>
      </c>
      <c r="G613" s="1" t="s">
        <v>16</v>
      </c>
      <c r="H613" s="1" t="s">
        <v>24</v>
      </c>
      <c r="I613" s="1" t="s">
        <v>51</v>
      </c>
      <c r="J613" s="1">
        <v>40</v>
      </c>
      <c r="K613" s="1" t="s">
        <v>19</v>
      </c>
      <c r="L613" s="3">
        <v>115000</v>
      </c>
      <c r="M613" s="3">
        <v>115000</v>
      </c>
      <c r="N613" s="1" t="s">
        <v>29</v>
      </c>
      <c r="O613" s="5" t="str" cm="1">
        <f t="array" ref="O613">_xlfn.IFS(Table1[[#This Row],[Age]]&lt;25,"Young",Table1[[#This Row],[Age]]&lt;45,"Adult",Table1[[#This Row],[Age]]&gt;=45,"Old")</f>
        <v>Old</v>
      </c>
    </row>
    <row r="614" spans="1:15" x14ac:dyDescent="0.25">
      <c r="A614" s="1">
        <v>7574</v>
      </c>
      <c r="B614" s="1" t="s">
        <v>377</v>
      </c>
      <c r="C614" s="1" t="s">
        <v>738</v>
      </c>
      <c r="D614" s="1">
        <v>21</v>
      </c>
      <c r="E614" s="1">
        <v>1</v>
      </c>
      <c r="F614" s="1" t="s">
        <v>953</v>
      </c>
      <c r="G614" s="1" t="s">
        <v>16</v>
      </c>
      <c r="H614" s="1" t="s">
        <v>17</v>
      </c>
      <c r="I614" s="1" t="s">
        <v>18</v>
      </c>
      <c r="J614" s="1">
        <v>20</v>
      </c>
      <c r="K614" s="1" t="s">
        <v>19</v>
      </c>
      <c r="L614" s="3">
        <v>138000</v>
      </c>
      <c r="M614" s="3">
        <v>69000</v>
      </c>
      <c r="N614" s="1" t="s">
        <v>26</v>
      </c>
      <c r="O614" s="5" t="str" cm="1">
        <f t="array" ref="O614">_xlfn.IFS(Table1[[#This Row],[Age]]&lt;25,"Young",Table1[[#This Row],[Age]]&lt;45,"Adult",Table1[[#This Row],[Age]]&gt;=45,"Old")</f>
        <v>Young</v>
      </c>
    </row>
    <row r="615" spans="1:15" x14ac:dyDescent="0.25">
      <c r="A615" s="1">
        <v>14670</v>
      </c>
      <c r="B615" s="1" t="s">
        <v>93</v>
      </c>
      <c r="C615" s="1" t="s">
        <v>94</v>
      </c>
      <c r="D615" s="1">
        <v>26</v>
      </c>
      <c r="E615" s="1">
        <v>0</v>
      </c>
      <c r="F615" s="1" t="s">
        <v>953</v>
      </c>
      <c r="G615" s="1" t="s">
        <v>23</v>
      </c>
      <c r="H615" s="1" t="s">
        <v>36</v>
      </c>
      <c r="I615" s="1" t="s">
        <v>18</v>
      </c>
      <c r="J615" s="1">
        <v>40</v>
      </c>
      <c r="K615" s="1" t="s">
        <v>19</v>
      </c>
      <c r="L615" s="3">
        <v>127495</v>
      </c>
      <c r="M615" s="3">
        <v>127495</v>
      </c>
      <c r="N615" s="1" t="s">
        <v>29</v>
      </c>
      <c r="O615" s="5" t="str" cm="1">
        <f t="array" ref="O615">_xlfn.IFS(Table1[[#This Row],[Age]]&lt;25,"Young",Table1[[#This Row],[Age]]&lt;45,"Adult",Table1[[#This Row],[Age]]&gt;=45,"Old")</f>
        <v>Adult</v>
      </c>
    </row>
    <row r="616" spans="1:15" x14ac:dyDescent="0.25">
      <c r="A616" s="1">
        <v>18639</v>
      </c>
      <c r="B616" s="1" t="s">
        <v>40</v>
      </c>
      <c r="C616" s="1" t="s">
        <v>530</v>
      </c>
      <c r="D616" s="1">
        <v>55</v>
      </c>
      <c r="E616" s="1">
        <v>17</v>
      </c>
      <c r="F616" s="1" t="s">
        <v>953</v>
      </c>
      <c r="G616" s="1" t="s">
        <v>16</v>
      </c>
      <c r="H616" s="1" t="s">
        <v>24</v>
      </c>
      <c r="I616" s="1" t="s">
        <v>18</v>
      </c>
      <c r="J616" s="1">
        <v>40</v>
      </c>
      <c r="K616" s="1" t="s">
        <v>52</v>
      </c>
      <c r="L616" s="3">
        <v>146775</v>
      </c>
      <c r="M616" s="3">
        <v>146775</v>
      </c>
      <c r="N616" s="1" t="s">
        <v>29</v>
      </c>
      <c r="O616" s="5" t="str" cm="1">
        <f t="array" ref="O616">_xlfn.IFS(Table1[[#This Row],[Age]]&lt;25,"Young",Table1[[#This Row],[Age]]&lt;45,"Adult",Table1[[#This Row],[Age]]&gt;=45,"Old")</f>
        <v>Old</v>
      </c>
    </row>
    <row r="617" spans="1:15" x14ac:dyDescent="0.25">
      <c r="A617" s="1">
        <v>15298</v>
      </c>
      <c r="B617" s="1" t="s">
        <v>162</v>
      </c>
      <c r="C617" s="1" t="s">
        <v>83</v>
      </c>
      <c r="D617" s="1">
        <v>40</v>
      </c>
      <c r="E617" s="1">
        <v>20</v>
      </c>
      <c r="F617" s="1" t="s">
        <v>953</v>
      </c>
      <c r="G617" s="1" t="s">
        <v>50</v>
      </c>
      <c r="H617" s="1" t="s">
        <v>119</v>
      </c>
      <c r="I617" s="1" t="s">
        <v>51</v>
      </c>
      <c r="J617" s="1">
        <v>32</v>
      </c>
      <c r="K617" s="1" t="s">
        <v>19</v>
      </c>
      <c r="L617" s="3">
        <v>124200</v>
      </c>
      <c r="M617" s="3">
        <v>99360</v>
      </c>
      <c r="N617" s="1" t="s">
        <v>29</v>
      </c>
      <c r="O617" s="5" t="str" cm="1">
        <f t="array" ref="O617">_xlfn.IFS(Table1[[#This Row],[Age]]&lt;25,"Young",Table1[[#This Row],[Age]]&lt;45,"Adult",Table1[[#This Row],[Age]]&gt;=45,"Old")</f>
        <v>Adult</v>
      </c>
    </row>
    <row r="618" spans="1:15" x14ac:dyDescent="0.25">
      <c r="A618" s="1">
        <v>5902</v>
      </c>
      <c r="B618" s="1" t="s">
        <v>579</v>
      </c>
      <c r="C618" s="1" t="s">
        <v>311</v>
      </c>
      <c r="D618" s="1">
        <v>19</v>
      </c>
      <c r="E618" s="1">
        <v>0</v>
      </c>
      <c r="F618" s="1" t="s">
        <v>953</v>
      </c>
      <c r="G618" s="1" t="s">
        <v>23</v>
      </c>
      <c r="H618" s="1" t="s">
        <v>36</v>
      </c>
      <c r="I618" s="1" t="s">
        <v>18</v>
      </c>
      <c r="J618" s="1">
        <v>40</v>
      </c>
      <c r="K618" s="1" t="s">
        <v>25</v>
      </c>
      <c r="L618" s="3">
        <v>106607</v>
      </c>
      <c r="M618" s="3">
        <v>106607</v>
      </c>
      <c r="N618" s="1" t="s">
        <v>29</v>
      </c>
      <c r="O618" s="5" t="str" cm="1">
        <f t="array" ref="O618">_xlfn.IFS(Table1[[#This Row],[Age]]&lt;25,"Young",Table1[[#This Row],[Age]]&lt;45,"Adult",Table1[[#This Row],[Age]]&gt;=45,"Old")</f>
        <v>Young</v>
      </c>
    </row>
    <row r="619" spans="1:15" x14ac:dyDescent="0.25">
      <c r="A619" s="1">
        <v>16241</v>
      </c>
      <c r="B619" s="1" t="s">
        <v>790</v>
      </c>
      <c r="C619" s="1" t="s">
        <v>791</v>
      </c>
      <c r="D619" s="1">
        <v>64</v>
      </c>
      <c r="E619" s="1">
        <v>9</v>
      </c>
      <c r="F619" s="1" t="s">
        <v>953</v>
      </c>
      <c r="G619" s="1" t="s">
        <v>23</v>
      </c>
      <c r="H619" s="1" t="s">
        <v>36</v>
      </c>
      <c r="I619" s="1" t="s">
        <v>51</v>
      </c>
      <c r="J619" s="1">
        <v>40</v>
      </c>
      <c r="K619" s="1" t="s">
        <v>42</v>
      </c>
      <c r="L619" s="3">
        <v>87000</v>
      </c>
      <c r="M619" s="3">
        <v>87000</v>
      </c>
      <c r="N619" s="1" t="s">
        <v>26</v>
      </c>
      <c r="O619" s="5" t="str" cm="1">
        <f t="array" ref="O619">_xlfn.IFS(Table1[[#This Row],[Age]]&lt;25,"Young",Table1[[#This Row],[Age]]&lt;45,"Adult",Table1[[#This Row],[Age]]&gt;=45,"Old")</f>
        <v>Old</v>
      </c>
    </row>
    <row r="620" spans="1:15" x14ac:dyDescent="0.25">
      <c r="A620" s="1">
        <v>15434</v>
      </c>
      <c r="B620" s="1" t="s">
        <v>69</v>
      </c>
      <c r="C620" s="1" t="s">
        <v>292</v>
      </c>
      <c r="D620" s="1">
        <v>27</v>
      </c>
      <c r="E620" s="1">
        <v>6</v>
      </c>
      <c r="F620" s="1" t="s">
        <v>954</v>
      </c>
      <c r="G620" s="1" t="s">
        <v>35</v>
      </c>
      <c r="H620" s="1" t="s">
        <v>24</v>
      </c>
      <c r="I620" s="1" t="s">
        <v>18</v>
      </c>
      <c r="J620" s="1">
        <v>24</v>
      </c>
      <c r="K620" s="1" t="s">
        <v>25</v>
      </c>
      <c r="L620" s="3">
        <v>98000</v>
      </c>
      <c r="M620" s="3">
        <v>58800</v>
      </c>
      <c r="N620" s="1" t="s">
        <v>29</v>
      </c>
      <c r="O620" s="5" t="str" cm="1">
        <f t="array" ref="O620">_xlfn.IFS(Table1[[#This Row],[Age]]&lt;25,"Young",Table1[[#This Row],[Age]]&lt;45,"Adult",Table1[[#This Row],[Age]]&gt;=45,"Old")</f>
        <v>Adult</v>
      </c>
    </row>
    <row r="621" spans="1:15" x14ac:dyDescent="0.25">
      <c r="A621" s="1">
        <v>9180</v>
      </c>
      <c r="B621" s="1" t="s">
        <v>121</v>
      </c>
      <c r="C621" s="1" t="s">
        <v>677</v>
      </c>
      <c r="D621" s="1">
        <v>47</v>
      </c>
      <c r="E621" s="1">
        <v>12</v>
      </c>
      <c r="F621" s="1" t="s">
        <v>953</v>
      </c>
      <c r="G621" s="1" t="s">
        <v>16</v>
      </c>
      <c r="H621" s="1" t="s">
        <v>36</v>
      </c>
      <c r="I621" s="1" t="s">
        <v>18</v>
      </c>
      <c r="J621" s="1">
        <v>40</v>
      </c>
      <c r="K621" s="1" t="s">
        <v>37</v>
      </c>
      <c r="L621" s="3">
        <v>107000</v>
      </c>
      <c r="M621" s="3">
        <v>107000</v>
      </c>
      <c r="N621" s="1" t="s">
        <v>20</v>
      </c>
      <c r="O621" s="5" t="str" cm="1">
        <f t="array" ref="O621">_xlfn.IFS(Table1[[#This Row],[Age]]&lt;25,"Young",Table1[[#This Row],[Age]]&lt;45,"Adult",Table1[[#This Row],[Age]]&gt;=45,"Old")</f>
        <v>Old</v>
      </c>
    </row>
    <row r="622" spans="1:15" x14ac:dyDescent="0.25">
      <c r="A622" s="1">
        <v>8788</v>
      </c>
      <c r="B622" s="1" t="s">
        <v>792</v>
      </c>
      <c r="C622" s="1" t="s">
        <v>793</v>
      </c>
      <c r="D622" s="1">
        <v>51</v>
      </c>
      <c r="E622" s="1">
        <v>22</v>
      </c>
      <c r="F622" s="1" t="s">
        <v>953</v>
      </c>
      <c r="G622" s="1" t="s">
        <v>50</v>
      </c>
      <c r="H622" s="1" t="s">
        <v>32</v>
      </c>
      <c r="I622" s="1" t="s">
        <v>18</v>
      </c>
      <c r="J622" s="1">
        <v>40</v>
      </c>
      <c r="K622" s="1" t="s">
        <v>37</v>
      </c>
      <c r="L622" s="3">
        <v>100263</v>
      </c>
      <c r="M622" s="3">
        <v>100263</v>
      </c>
      <c r="N622" s="1" t="s">
        <v>26</v>
      </c>
      <c r="O622" s="5" t="str" cm="1">
        <f t="array" ref="O622">_xlfn.IFS(Table1[[#This Row],[Age]]&lt;25,"Young",Table1[[#This Row],[Age]]&lt;45,"Adult",Table1[[#This Row],[Age]]&gt;=45,"Old")</f>
        <v>Old</v>
      </c>
    </row>
    <row r="623" spans="1:15" x14ac:dyDescent="0.25">
      <c r="A623" s="1">
        <v>21581</v>
      </c>
      <c r="B623" s="1" t="s">
        <v>639</v>
      </c>
      <c r="C623" s="1" t="s">
        <v>794</v>
      </c>
      <c r="D623" s="1">
        <v>51</v>
      </c>
      <c r="E623" s="1">
        <v>33</v>
      </c>
      <c r="F623" s="1" t="s">
        <v>953</v>
      </c>
      <c r="G623" s="1" t="s">
        <v>45</v>
      </c>
      <c r="H623" s="1" t="s">
        <v>36</v>
      </c>
      <c r="I623" s="1" t="s">
        <v>18</v>
      </c>
      <c r="J623" s="1">
        <v>40</v>
      </c>
      <c r="K623" s="1" t="s">
        <v>37</v>
      </c>
      <c r="L623" s="3">
        <v>107000</v>
      </c>
      <c r="M623" s="3">
        <v>107000</v>
      </c>
      <c r="N623" s="1" t="s">
        <v>29</v>
      </c>
      <c r="O623" s="5" t="str" cm="1">
        <f t="array" ref="O623">_xlfn.IFS(Table1[[#This Row],[Age]]&lt;25,"Young",Table1[[#This Row],[Age]]&lt;45,"Adult",Table1[[#This Row],[Age]]&gt;=45,"Old")</f>
        <v>Old</v>
      </c>
    </row>
    <row r="624" spans="1:15" x14ac:dyDescent="0.25">
      <c r="A624" s="1">
        <v>9773</v>
      </c>
      <c r="B624" s="1" t="s">
        <v>782</v>
      </c>
      <c r="C624" s="1" t="s">
        <v>795</v>
      </c>
      <c r="D624" s="1">
        <v>28</v>
      </c>
      <c r="E624" s="1">
        <v>9</v>
      </c>
      <c r="F624" s="1" t="s">
        <v>953</v>
      </c>
      <c r="G624" s="1" t="s">
        <v>35</v>
      </c>
      <c r="H624" s="1" t="s">
        <v>36</v>
      </c>
      <c r="I624" s="1" t="s">
        <v>18</v>
      </c>
      <c r="J624" s="1">
        <v>40</v>
      </c>
      <c r="K624" s="1" t="s">
        <v>25</v>
      </c>
      <c r="L624" s="3">
        <v>121808</v>
      </c>
      <c r="M624" s="3">
        <v>121808</v>
      </c>
      <c r="N624" s="1" t="s">
        <v>29</v>
      </c>
      <c r="O624" s="5" t="str" cm="1">
        <f t="array" ref="O624">_xlfn.IFS(Table1[[#This Row],[Age]]&lt;25,"Young",Table1[[#This Row],[Age]]&lt;45,"Adult",Table1[[#This Row],[Age]]&gt;=45,"Old")</f>
        <v>Adult</v>
      </c>
    </row>
    <row r="625" spans="1:15" x14ac:dyDescent="0.25">
      <c r="A625" s="1">
        <v>17768</v>
      </c>
      <c r="B625" s="1" t="s">
        <v>796</v>
      </c>
      <c r="C625" s="1" t="s">
        <v>435</v>
      </c>
      <c r="D625" s="1">
        <v>40</v>
      </c>
      <c r="E625" s="1">
        <v>10</v>
      </c>
      <c r="F625" s="1" t="s">
        <v>954</v>
      </c>
      <c r="G625" s="1" t="s">
        <v>35</v>
      </c>
      <c r="H625" s="1" t="s">
        <v>36</v>
      </c>
      <c r="I625" s="1" t="s">
        <v>18</v>
      </c>
      <c r="J625" s="1">
        <v>40</v>
      </c>
      <c r="K625" s="1" t="s">
        <v>25</v>
      </c>
      <c r="L625" s="3">
        <v>107946</v>
      </c>
      <c r="M625" s="3">
        <v>107946</v>
      </c>
      <c r="N625" s="1" t="s">
        <v>29</v>
      </c>
      <c r="O625" s="5" t="str" cm="1">
        <f t="array" ref="O625">_xlfn.IFS(Table1[[#This Row],[Age]]&lt;25,"Young",Table1[[#This Row],[Age]]&lt;45,"Adult",Table1[[#This Row],[Age]]&gt;=45,"Old")</f>
        <v>Adult</v>
      </c>
    </row>
    <row r="626" spans="1:15" x14ac:dyDescent="0.25">
      <c r="A626" s="1">
        <v>16566</v>
      </c>
      <c r="B626" s="1" t="s">
        <v>605</v>
      </c>
      <c r="C626" s="1" t="s">
        <v>418</v>
      </c>
      <c r="D626" s="1">
        <v>61</v>
      </c>
      <c r="E626" s="1">
        <v>16</v>
      </c>
      <c r="F626" s="1" t="s">
        <v>954</v>
      </c>
      <c r="G626" s="1" t="s">
        <v>16</v>
      </c>
      <c r="H626" s="1" t="s">
        <v>119</v>
      </c>
      <c r="I626" s="1" t="s">
        <v>51</v>
      </c>
      <c r="J626" s="1">
        <v>24</v>
      </c>
      <c r="K626" s="1" t="s">
        <v>19</v>
      </c>
      <c r="L626" s="3">
        <v>115000</v>
      </c>
      <c r="M626" s="3">
        <v>69000</v>
      </c>
      <c r="N626" s="1" t="s">
        <v>29</v>
      </c>
      <c r="O626" s="5" t="str" cm="1">
        <f t="array" ref="O626">_xlfn.IFS(Table1[[#This Row],[Age]]&lt;25,"Young",Table1[[#This Row],[Age]]&lt;45,"Adult",Table1[[#This Row],[Age]]&gt;=45,"Old")</f>
        <v>Old</v>
      </c>
    </row>
    <row r="627" spans="1:15" x14ac:dyDescent="0.25">
      <c r="A627" s="1">
        <v>21224</v>
      </c>
      <c r="B627" s="1" t="s">
        <v>618</v>
      </c>
      <c r="C627" s="1" t="s">
        <v>797</v>
      </c>
      <c r="D627" s="1">
        <v>38</v>
      </c>
      <c r="E627" s="1">
        <v>3</v>
      </c>
      <c r="F627" s="1" t="s">
        <v>953</v>
      </c>
      <c r="G627" s="1" t="s">
        <v>35</v>
      </c>
      <c r="H627" s="1" t="s">
        <v>24</v>
      </c>
      <c r="I627" s="1" t="s">
        <v>18</v>
      </c>
      <c r="J627" s="1">
        <v>40</v>
      </c>
      <c r="K627" s="1" t="s">
        <v>25</v>
      </c>
      <c r="L627" s="3">
        <v>122000</v>
      </c>
      <c r="M627" s="3">
        <v>122000</v>
      </c>
      <c r="N627" s="1" t="s">
        <v>26</v>
      </c>
      <c r="O627" s="5" t="str" cm="1">
        <f t="array" ref="O627">_xlfn.IFS(Table1[[#This Row],[Age]]&lt;25,"Young",Table1[[#This Row],[Age]]&lt;45,"Adult",Table1[[#This Row],[Age]]&gt;=45,"Old")</f>
        <v>Adult</v>
      </c>
    </row>
    <row r="628" spans="1:15" x14ac:dyDescent="0.25">
      <c r="A628" s="1">
        <v>8526</v>
      </c>
      <c r="B628" s="1" t="s">
        <v>798</v>
      </c>
      <c r="C628" s="1" t="s">
        <v>799</v>
      </c>
      <c r="D628" s="1">
        <v>50</v>
      </c>
      <c r="E628" s="1">
        <v>27</v>
      </c>
      <c r="F628" s="1" t="s">
        <v>954</v>
      </c>
      <c r="G628" s="1" t="s">
        <v>45</v>
      </c>
      <c r="H628" s="1" t="s">
        <v>32</v>
      </c>
      <c r="I628" s="1" t="s">
        <v>18</v>
      </c>
      <c r="J628" s="1">
        <v>40</v>
      </c>
      <c r="K628" s="1" t="s">
        <v>37</v>
      </c>
      <c r="L628" s="3">
        <v>85000</v>
      </c>
      <c r="M628" s="3">
        <v>85000</v>
      </c>
      <c r="N628" s="1" t="s">
        <v>26</v>
      </c>
      <c r="O628" s="5" t="str" cm="1">
        <f t="array" ref="O628">_xlfn.IFS(Table1[[#This Row],[Age]]&lt;25,"Young",Table1[[#This Row],[Age]]&lt;45,"Adult",Table1[[#This Row],[Age]]&gt;=45,"Old")</f>
        <v>Old</v>
      </c>
    </row>
    <row r="629" spans="1:15" x14ac:dyDescent="0.25">
      <c r="A629" s="1">
        <v>9685</v>
      </c>
      <c r="B629" s="1" t="s">
        <v>117</v>
      </c>
      <c r="C629" s="1" t="s">
        <v>334</v>
      </c>
      <c r="D629" s="1">
        <v>47</v>
      </c>
      <c r="E629" s="1">
        <v>7</v>
      </c>
      <c r="F629" s="1" t="s">
        <v>953</v>
      </c>
      <c r="G629" s="1" t="s">
        <v>45</v>
      </c>
      <c r="H629" s="1" t="s">
        <v>32</v>
      </c>
      <c r="I629" s="1" t="s">
        <v>18</v>
      </c>
      <c r="J629" s="1">
        <v>40</v>
      </c>
      <c r="K629" s="1" t="s">
        <v>25</v>
      </c>
      <c r="L629" s="3">
        <v>122000</v>
      </c>
      <c r="M629" s="3">
        <v>122000</v>
      </c>
      <c r="N629" s="1" t="s">
        <v>26</v>
      </c>
      <c r="O629" s="5" t="str" cm="1">
        <f t="array" ref="O629">_xlfn.IFS(Table1[[#This Row],[Age]]&lt;25,"Young",Table1[[#This Row],[Age]]&lt;45,"Adult",Table1[[#This Row],[Age]]&gt;=45,"Old")</f>
        <v>Old</v>
      </c>
    </row>
    <row r="630" spans="1:15" x14ac:dyDescent="0.25">
      <c r="A630" s="1">
        <v>15100</v>
      </c>
      <c r="B630" s="1" t="s">
        <v>800</v>
      </c>
      <c r="C630" s="1" t="s">
        <v>194</v>
      </c>
      <c r="D630" s="1">
        <v>28</v>
      </c>
      <c r="E630" s="1">
        <v>1</v>
      </c>
      <c r="F630" s="1" t="s">
        <v>954</v>
      </c>
      <c r="G630" s="1" t="s">
        <v>16</v>
      </c>
      <c r="H630" s="1" t="s">
        <v>24</v>
      </c>
      <c r="I630" s="1" t="s">
        <v>18</v>
      </c>
      <c r="J630" s="1">
        <v>40</v>
      </c>
      <c r="K630" s="1" t="s">
        <v>37</v>
      </c>
      <c r="L630" s="3">
        <v>89686</v>
      </c>
      <c r="M630" s="3">
        <v>89686</v>
      </c>
      <c r="N630" s="1" t="s">
        <v>29</v>
      </c>
      <c r="O630" s="5" t="str" cm="1">
        <f t="array" ref="O630">_xlfn.IFS(Table1[[#This Row],[Age]]&lt;25,"Young",Table1[[#This Row],[Age]]&lt;45,"Adult",Table1[[#This Row],[Age]]&gt;=45,"Old")</f>
        <v>Adult</v>
      </c>
    </row>
    <row r="631" spans="1:15" x14ac:dyDescent="0.25">
      <c r="A631" s="1">
        <v>3225</v>
      </c>
      <c r="B631" s="1" t="s">
        <v>801</v>
      </c>
      <c r="C631" s="1" t="s">
        <v>802</v>
      </c>
      <c r="D631" s="1">
        <v>50</v>
      </c>
      <c r="E631" s="1">
        <v>21</v>
      </c>
      <c r="F631" s="1" t="s">
        <v>954</v>
      </c>
      <c r="G631" s="1" t="s">
        <v>16</v>
      </c>
      <c r="H631" s="1" t="s">
        <v>32</v>
      </c>
      <c r="I631" s="1" t="s">
        <v>18</v>
      </c>
      <c r="J631" s="1">
        <v>40</v>
      </c>
      <c r="K631" s="1" t="s">
        <v>37</v>
      </c>
      <c r="L631" s="3">
        <v>91170</v>
      </c>
      <c r="M631" s="3">
        <v>91170</v>
      </c>
      <c r="N631" s="1" t="s">
        <v>29</v>
      </c>
      <c r="O631" s="5" t="str" cm="1">
        <f t="array" ref="O631">_xlfn.IFS(Table1[[#This Row],[Age]]&lt;25,"Young",Table1[[#This Row],[Age]]&lt;45,"Adult",Table1[[#This Row],[Age]]&gt;=45,"Old")</f>
        <v>Old</v>
      </c>
    </row>
    <row r="632" spans="1:15" x14ac:dyDescent="0.25">
      <c r="A632" s="1">
        <v>10049</v>
      </c>
      <c r="B632" s="1" t="s">
        <v>104</v>
      </c>
      <c r="C632" s="1" t="s">
        <v>803</v>
      </c>
      <c r="D632" s="1">
        <v>47</v>
      </c>
      <c r="E632" s="1">
        <v>25</v>
      </c>
      <c r="F632" s="1" t="s">
        <v>954</v>
      </c>
      <c r="G632" s="1" t="s">
        <v>45</v>
      </c>
      <c r="H632" s="1" t="s">
        <v>64</v>
      </c>
      <c r="I632" s="1" t="s">
        <v>51</v>
      </c>
      <c r="J632" s="1">
        <v>32</v>
      </c>
      <c r="K632" s="1" t="s">
        <v>25</v>
      </c>
      <c r="L632" s="3">
        <v>98000</v>
      </c>
      <c r="M632" s="3">
        <v>98000</v>
      </c>
      <c r="N632" s="1" t="s">
        <v>20</v>
      </c>
      <c r="O632" s="5" t="str" cm="1">
        <f t="array" ref="O632">_xlfn.IFS(Table1[[#This Row],[Age]]&lt;25,"Young",Table1[[#This Row],[Age]]&lt;45,"Adult",Table1[[#This Row],[Age]]&gt;=45,"Old")</f>
        <v>Old</v>
      </c>
    </row>
    <row r="633" spans="1:15" x14ac:dyDescent="0.25">
      <c r="A633" s="1">
        <v>6247</v>
      </c>
      <c r="B633" s="1" t="s">
        <v>751</v>
      </c>
      <c r="C633" s="1" t="s">
        <v>752</v>
      </c>
      <c r="D633" s="1">
        <v>59</v>
      </c>
      <c r="E633" s="1">
        <v>5</v>
      </c>
      <c r="F633" s="1" t="s">
        <v>953</v>
      </c>
      <c r="G633" s="1" t="s">
        <v>16</v>
      </c>
      <c r="H633" s="1" t="s">
        <v>24</v>
      </c>
      <c r="I633" s="1" t="s">
        <v>18</v>
      </c>
      <c r="J633" s="1">
        <v>20</v>
      </c>
      <c r="K633" s="1" t="s">
        <v>52</v>
      </c>
      <c r="L633" s="3">
        <v>142279</v>
      </c>
      <c r="M633" s="3">
        <v>71139.5</v>
      </c>
      <c r="N633" s="1" t="s">
        <v>29</v>
      </c>
      <c r="O633" s="5" t="str" cm="1">
        <f t="array" ref="O633">_xlfn.IFS(Table1[[#This Row],[Age]]&lt;25,"Young",Table1[[#This Row],[Age]]&lt;45,"Adult",Table1[[#This Row],[Age]]&gt;=45,"Old")</f>
        <v>Old</v>
      </c>
    </row>
    <row r="634" spans="1:15" x14ac:dyDescent="0.25">
      <c r="A634" s="1">
        <v>8370</v>
      </c>
      <c r="B634" s="1" t="s">
        <v>392</v>
      </c>
      <c r="C634" s="1" t="s">
        <v>297</v>
      </c>
      <c r="D634" s="1">
        <v>36</v>
      </c>
      <c r="E634" s="1">
        <v>8</v>
      </c>
      <c r="F634" s="1" t="s">
        <v>954</v>
      </c>
      <c r="G634" s="1" t="s">
        <v>23</v>
      </c>
      <c r="H634" s="1" t="s">
        <v>64</v>
      </c>
      <c r="I634" s="1" t="s">
        <v>18</v>
      </c>
      <c r="J634" s="1">
        <v>16</v>
      </c>
      <c r="K634" s="1" t="s">
        <v>19</v>
      </c>
      <c r="L634" s="3">
        <v>115000</v>
      </c>
      <c r="M634" s="3">
        <v>46000</v>
      </c>
      <c r="N634" s="1" t="s">
        <v>20</v>
      </c>
      <c r="O634" s="5" t="str" cm="1">
        <f t="array" ref="O634">_xlfn.IFS(Table1[[#This Row],[Age]]&lt;25,"Young",Table1[[#This Row],[Age]]&lt;45,"Adult",Table1[[#This Row],[Age]]&gt;=45,"Old")</f>
        <v>Adult</v>
      </c>
    </row>
    <row r="635" spans="1:15" x14ac:dyDescent="0.25">
      <c r="A635" s="1">
        <v>9590</v>
      </c>
      <c r="B635" s="1" t="s">
        <v>316</v>
      </c>
      <c r="C635" s="1" t="s">
        <v>804</v>
      </c>
      <c r="D635" s="1">
        <v>32</v>
      </c>
      <c r="E635" s="1">
        <v>13</v>
      </c>
      <c r="F635" s="1" t="s">
        <v>954</v>
      </c>
      <c r="G635" s="1" t="s">
        <v>45</v>
      </c>
      <c r="H635" s="1" t="s">
        <v>36</v>
      </c>
      <c r="I635" s="1" t="s">
        <v>18</v>
      </c>
      <c r="J635" s="1">
        <v>40</v>
      </c>
      <c r="K635" s="1" t="s">
        <v>37</v>
      </c>
      <c r="L635" s="3">
        <v>85000</v>
      </c>
      <c r="M635" s="3">
        <v>85000</v>
      </c>
      <c r="N635" s="1" t="s">
        <v>29</v>
      </c>
      <c r="O635" s="5" t="str" cm="1">
        <f t="array" ref="O635">_xlfn.IFS(Table1[[#This Row],[Age]]&lt;25,"Young",Table1[[#This Row],[Age]]&lt;45,"Adult",Table1[[#This Row],[Age]]&gt;=45,"Old")</f>
        <v>Adult</v>
      </c>
    </row>
    <row r="636" spans="1:15" x14ac:dyDescent="0.25">
      <c r="A636" s="1">
        <v>11692</v>
      </c>
      <c r="B636" s="1" t="s">
        <v>552</v>
      </c>
      <c r="C636" s="1" t="s">
        <v>805</v>
      </c>
      <c r="D636" s="1">
        <v>39</v>
      </c>
      <c r="E636" s="1">
        <v>14</v>
      </c>
      <c r="F636" s="1" t="s">
        <v>953</v>
      </c>
      <c r="G636" s="1" t="s">
        <v>50</v>
      </c>
      <c r="H636" s="1" t="s">
        <v>36</v>
      </c>
      <c r="I636" s="1" t="s">
        <v>18</v>
      </c>
      <c r="J636" s="1">
        <v>16</v>
      </c>
      <c r="K636" s="1" t="s">
        <v>42</v>
      </c>
      <c r="L636" s="3">
        <v>73440</v>
      </c>
      <c r="M636" s="3">
        <v>29376</v>
      </c>
      <c r="N636" s="1" t="s">
        <v>20</v>
      </c>
      <c r="O636" s="5" t="str" cm="1">
        <f t="array" ref="O636">_xlfn.IFS(Table1[[#This Row],[Age]]&lt;25,"Young",Table1[[#This Row],[Age]]&lt;45,"Adult",Table1[[#This Row],[Age]]&gt;=45,"Old")</f>
        <v>Adult</v>
      </c>
    </row>
    <row r="637" spans="1:15" x14ac:dyDescent="0.25">
      <c r="A637" s="1">
        <v>11163</v>
      </c>
      <c r="B637" s="1" t="s">
        <v>806</v>
      </c>
      <c r="C637" s="1" t="s">
        <v>807</v>
      </c>
      <c r="D637" s="1">
        <v>44</v>
      </c>
      <c r="E637" s="1">
        <v>11</v>
      </c>
      <c r="F637" s="1" t="s">
        <v>953</v>
      </c>
      <c r="G637" s="1" t="s">
        <v>45</v>
      </c>
      <c r="H637" s="1" t="s">
        <v>32</v>
      </c>
      <c r="I637" s="1" t="s">
        <v>18</v>
      </c>
      <c r="J637" s="1">
        <v>8</v>
      </c>
      <c r="K637" s="1" t="s">
        <v>42</v>
      </c>
      <c r="L637" s="3">
        <v>77197</v>
      </c>
      <c r="M637" s="3">
        <v>15439.4</v>
      </c>
      <c r="N637" s="1" t="s">
        <v>20</v>
      </c>
      <c r="O637" s="5" t="str" cm="1">
        <f t="array" ref="O637">_xlfn.IFS(Table1[[#This Row],[Age]]&lt;25,"Young",Table1[[#This Row],[Age]]&lt;45,"Adult",Table1[[#This Row],[Age]]&gt;=45,"Old")</f>
        <v>Adult</v>
      </c>
    </row>
    <row r="638" spans="1:15" x14ac:dyDescent="0.25">
      <c r="A638" s="1">
        <v>18386</v>
      </c>
      <c r="B638" s="1" t="s">
        <v>60</v>
      </c>
      <c r="C638" s="1" t="s">
        <v>83</v>
      </c>
      <c r="D638" s="1">
        <v>57</v>
      </c>
      <c r="E638" s="1">
        <v>16</v>
      </c>
      <c r="F638" s="1" t="s">
        <v>954</v>
      </c>
      <c r="G638" s="1" t="s">
        <v>45</v>
      </c>
      <c r="H638" s="1" t="s">
        <v>119</v>
      </c>
      <c r="I638" s="1" t="s">
        <v>51</v>
      </c>
      <c r="J638" s="1">
        <v>8</v>
      </c>
      <c r="K638" s="1" t="s">
        <v>52</v>
      </c>
      <c r="L638" s="3">
        <v>130000</v>
      </c>
      <c r="M638" s="3">
        <v>26000</v>
      </c>
      <c r="N638" s="1" t="s">
        <v>20</v>
      </c>
      <c r="O638" s="5" t="str" cm="1">
        <f t="array" ref="O638">_xlfn.IFS(Table1[[#This Row],[Age]]&lt;25,"Young",Table1[[#This Row],[Age]]&lt;45,"Adult",Table1[[#This Row],[Age]]&gt;=45,"Old")</f>
        <v>Old</v>
      </c>
    </row>
    <row r="639" spans="1:15" x14ac:dyDescent="0.25">
      <c r="A639" s="1">
        <v>10644</v>
      </c>
      <c r="B639" s="1" t="s">
        <v>735</v>
      </c>
      <c r="C639" s="1" t="s">
        <v>736</v>
      </c>
      <c r="D639" s="1">
        <v>29</v>
      </c>
      <c r="E639" s="1">
        <v>1</v>
      </c>
      <c r="F639" s="1" t="s">
        <v>954</v>
      </c>
      <c r="G639" s="1" t="s">
        <v>35</v>
      </c>
      <c r="H639" s="1" t="s">
        <v>17</v>
      </c>
      <c r="I639" s="1" t="s">
        <v>18</v>
      </c>
      <c r="J639" s="1">
        <v>20</v>
      </c>
      <c r="K639" s="1" t="s">
        <v>37</v>
      </c>
      <c r="L639" s="3">
        <v>85116</v>
      </c>
      <c r="M639" s="3">
        <v>42558</v>
      </c>
      <c r="N639" s="1" t="s">
        <v>29</v>
      </c>
      <c r="O639" s="5" t="str" cm="1">
        <f t="array" ref="O639">_xlfn.IFS(Table1[[#This Row],[Age]]&lt;25,"Young",Table1[[#This Row],[Age]]&lt;45,"Adult",Table1[[#This Row],[Age]]&gt;=45,"Old")</f>
        <v>Adult</v>
      </c>
    </row>
    <row r="640" spans="1:15" x14ac:dyDescent="0.25">
      <c r="A640" s="1">
        <v>3327</v>
      </c>
      <c r="B640" s="1" t="s">
        <v>385</v>
      </c>
      <c r="C640" s="1" t="s">
        <v>72</v>
      </c>
      <c r="D640" s="1">
        <v>53</v>
      </c>
      <c r="E640" s="1">
        <v>28</v>
      </c>
      <c r="F640" s="1" t="s">
        <v>953</v>
      </c>
      <c r="G640" s="1" t="s">
        <v>16</v>
      </c>
      <c r="H640" s="1" t="s">
        <v>17</v>
      </c>
      <c r="I640" s="1" t="s">
        <v>18</v>
      </c>
      <c r="J640" s="1">
        <v>40</v>
      </c>
      <c r="K640" s="1" t="s">
        <v>19</v>
      </c>
      <c r="L640" s="3">
        <v>138000</v>
      </c>
      <c r="M640" s="3">
        <v>138000</v>
      </c>
      <c r="N640" s="1" t="s">
        <v>29</v>
      </c>
      <c r="O640" s="5" t="str" cm="1">
        <f t="array" ref="O640">_xlfn.IFS(Table1[[#This Row],[Age]]&lt;25,"Young",Table1[[#This Row],[Age]]&lt;45,"Adult",Table1[[#This Row],[Age]]&gt;=45,"Old")</f>
        <v>Old</v>
      </c>
    </row>
    <row r="641" spans="1:15" x14ac:dyDescent="0.25">
      <c r="A641" s="1">
        <v>5221</v>
      </c>
      <c r="B641" s="1" t="s">
        <v>293</v>
      </c>
      <c r="C641" s="1" t="s">
        <v>808</v>
      </c>
      <c r="D641" s="1">
        <v>36</v>
      </c>
      <c r="E641" s="1">
        <v>14</v>
      </c>
      <c r="F641" s="1" t="s">
        <v>954</v>
      </c>
      <c r="G641" s="1" t="s">
        <v>16</v>
      </c>
      <c r="H641" s="1" t="s">
        <v>17</v>
      </c>
      <c r="I641" s="1" t="s">
        <v>18</v>
      </c>
      <c r="J641" s="1">
        <v>40</v>
      </c>
      <c r="K641" s="1" t="s">
        <v>25</v>
      </c>
      <c r="L641" s="3">
        <v>112039</v>
      </c>
      <c r="M641" s="3">
        <v>112039</v>
      </c>
      <c r="N641" s="1" t="s">
        <v>29</v>
      </c>
      <c r="O641" s="5" t="str" cm="1">
        <f t="array" ref="O641">_xlfn.IFS(Table1[[#This Row],[Age]]&lt;25,"Young",Table1[[#This Row],[Age]]&lt;45,"Adult",Table1[[#This Row],[Age]]&gt;=45,"Old")</f>
        <v>Adult</v>
      </c>
    </row>
    <row r="642" spans="1:15" x14ac:dyDescent="0.25">
      <c r="A642" s="1">
        <v>5629</v>
      </c>
      <c r="B642" s="1" t="s">
        <v>479</v>
      </c>
      <c r="C642" s="1" t="s">
        <v>809</v>
      </c>
      <c r="D642" s="1">
        <v>37</v>
      </c>
      <c r="E642" s="1">
        <v>2</v>
      </c>
      <c r="F642" s="1" t="s">
        <v>954</v>
      </c>
      <c r="G642" s="1" t="s">
        <v>45</v>
      </c>
      <c r="H642" s="1" t="s">
        <v>36</v>
      </c>
      <c r="I642" s="1" t="s">
        <v>18</v>
      </c>
      <c r="J642" s="1">
        <v>40</v>
      </c>
      <c r="K642" s="1" t="s">
        <v>37</v>
      </c>
      <c r="L642" s="3">
        <v>90338</v>
      </c>
      <c r="M642" s="3">
        <v>90338</v>
      </c>
      <c r="N642" s="1" t="s">
        <v>29</v>
      </c>
      <c r="O642" s="5" t="str" cm="1">
        <f t="array" ref="O642">_xlfn.IFS(Table1[[#This Row],[Age]]&lt;25,"Young",Table1[[#This Row],[Age]]&lt;45,"Adult",Table1[[#This Row],[Age]]&gt;=45,"Old")</f>
        <v>Adult</v>
      </c>
    </row>
    <row r="643" spans="1:15" x14ac:dyDescent="0.25">
      <c r="A643" s="1">
        <v>8264</v>
      </c>
      <c r="B643" s="1" t="s">
        <v>565</v>
      </c>
      <c r="C643" s="1" t="s">
        <v>810</v>
      </c>
      <c r="D643" s="1">
        <v>21</v>
      </c>
      <c r="E643" s="1">
        <v>3</v>
      </c>
      <c r="F643" s="1" t="s">
        <v>953</v>
      </c>
      <c r="G643" s="1" t="s">
        <v>23</v>
      </c>
      <c r="H643" s="1" t="s">
        <v>32</v>
      </c>
      <c r="I643" s="1" t="s">
        <v>18</v>
      </c>
      <c r="J643" s="1">
        <v>40</v>
      </c>
      <c r="K643" s="1" t="s">
        <v>37</v>
      </c>
      <c r="L643" s="3">
        <v>107000</v>
      </c>
      <c r="M643" s="3">
        <v>107000</v>
      </c>
      <c r="N643" s="1" t="s">
        <v>26</v>
      </c>
      <c r="O643" s="5" t="str" cm="1">
        <f t="array" ref="O643">_xlfn.IFS(Table1[[#This Row],[Age]]&lt;25,"Young",Table1[[#This Row],[Age]]&lt;45,"Adult",Table1[[#This Row],[Age]]&gt;=45,"Old")</f>
        <v>Young</v>
      </c>
    </row>
    <row r="644" spans="1:15" x14ac:dyDescent="0.25">
      <c r="A644" s="1">
        <v>13238</v>
      </c>
      <c r="B644" s="1" t="s">
        <v>235</v>
      </c>
      <c r="C644" s="1" t="s">
        <v>811</v>
      </c>
      <c r="D644" s="1">
        <v>52</v>
      </c>
      <c r="E644" s="1">
        <v>9</v>
      </c>
      <c r="F644" s="1" t="s">
        <v>953</v>
      </c>
      <c r="G644" s="1" t="s">
        <v>35</v>
      </c>
      <c r="H644" s="1" t="s">
        <v>36</v>
      </c>
      <c r="I644" s="1" t="s">
        <v>18</v>
      </c>
      <c r="J644" s="1">
        <v>40</v>
      </c>
      <c r="K644" s="1" t="s">
        <v>37</v>
      </c>
      <c r="L644" s="3">
        <v>94749</v>
      </c>
      <c r="M644" s="3">
        <v>94749</v>
      </c>
      <c r="N644" s="1" t="s">
        <v>29</v>
      </c>
      <c r="O644" s="5" t="str" cm="1">
        <f t="array" ref="O644">_xlfn.IFS(Table1[[#This Row],[Age]]&lt;25,"Young",Table1[[#This Row],[Age]]&lt;45,"Adult",Table1[[#This Row],[Age]]&gt;=45,"Old")</f>
        <v>Old</v>
      </c>
    </row>
    <row r="645" spans="1:15" x14ac:dyDescent="0.25">
      <c r="A645" s="1">
        <v>5694</v>
      </c>
      <c r="B645" s="1" t="s">
        <v>30</v>
      </c>
      <c r="C645" s="1" t="s">
        <v>56</v>
      </c>
      <c r="D645" s="1">
        <v>30</v>
      </c>
      <c r="E645" s="1">
        <v>5</v>
      </c>
      <c r="F645" s="1" t="s">
        <v>953</v>
      </c>
      <c r="G645" s="1" t="s">
        <v>23</v>
      </c>
      <c r="H645" s="1" t="s">
        <v>32</v>
      </c>
      <c r="I645" s="1" t="s">
        <v>18</v>
      </c>
      <c r="J645" s="1">
        <v>40</v>
      </c>
      <c r="K645" s="1" t="s">
        <v>25</v>
      </c>
      <c r="L645" s="3">
        <v>109621</v>
      </c>
      <c r="M645" s="3">
        <v>109621</v>
      </c>
      <c r="N645" s="1" t="s">
        <v>26</v>
      </c>
      <c r="O645" s="5" t="str" cm="1">
        <f t="array" ref="O645">_xlfn.IFS(Table1[[#This Row],[Age]]&lt;25,"Young",Table1[[#This Row],[Age]]&lt;45,"Adult",Table1[[#This Row],[Age]]&gt;=45,"Old")</f>
        <v>Adult</v>
      </c>
    </row>
    <row r="646" spans="1:15" x14ac:dyDescent="0.25">
      <c r="A646" s="1">
        <v>7697</v>
      </c>
      <c r="B646" s="1" t="s">
        <v>812</v>
      </c>
      <c r="C646" s="1" t="s">
        <v>813</v>
      </c>
      <c r="D646" s="1">
        <v>49</v>
      </c>
      <c r="E646" s="1">
        <v>15</v>
      </c>
      <c r="F646" s="1" t="s">
        <v>953</v>
      </c>
      <c r="G646" s="1" t="s">
        <v>35</v>
      </c>
      <c r="H646" s="1" t="s">
        <v>36</v>
      </c>
      <c r="I646" s="1" t="s">
        <v>51</v>
      </c>
      <c r="J646" s="1">
        <v>32</v>
      </c>
      <c r="K646" s="1" t="s">
        <v>42</v>
      </c>
      <c r="L646" s="3">
        <v>73440</v>
      </c>
      <c r="M646" s="3">
        <v>58752</v>
      </c>
      <c r="N646" s="1" t="s">
        <v>20</v>
      </c>
      <c r="O646" s="5" t="str" cm="1">
        <f t="array" ref="O646">_xlfn.IFS(Table1[[#This Row],[Age]]&lt;25,"Young",Table1[[#This Row],[Age]]&lt;45,"Adult",Table1[[#This Row],[Age]]&gt;=45,"Old")</f>
        <v>Old</v>
      </c>
    </row>
    <row r="647" spans="1:15" x14ac:dyDescent="0.25">
      <c r="A647" s="1">
        <v>2791</v>
      </c>
      <c r="B647" s="1" t="s">
        <v>814</v>
      </c>
      <c r="C647" s="1" t="s">
        <v>815</v>
      </c>
      <c r="D647" s="1">
        <v>37</v>
      </c>
      <c r="E647" s="1">
        <v>2</v>
      </c>
      <c r="F647" s="1" t="s">
        <v>954</v>
      </c>
      <c r="G647" s="1" t="s">
        <v>50</v>
      </c>
      <c r="H647" s="1" t="s">
        <v>24</v>
      </c>
      <c r="I647" s="1" t="s">
        <v>18</v>
      </c>
      <c r="J647" s="1">
        <v>24</v>
      </c>
      <c r="K647" s="1" t="s">
        <v>19</v>
      </c>
      <c r="L647" s="3">
        <v>115000</v>
      </c>
      <c r="M647" s="3">
        <v>69000</v>
      </c>
      <c r="N647" s="1" t="s">
        <v>29</v>
      </c>
      <c r="O647" s="5" t="str" cm="1">
        <f t="array" ref="O647">_xlfn.IFS(Table1[[#This Row],[Age]]&lt;25,"Young",Table1[[#This Row],[Age]]&lt;45,"Adult",Table1[[#This Row],[Age]]&gt;=45,"Old")</f>
        <v>Adult</v>
      </c>
    </row>
    <row r="648" spans="1:15" x14ac:dyDescent="0.25">
      <c r="A648" s="1">
        <v>14281</v>
      </c>
      <c r="B648" s="1" t="s">
        <v>400</v>
      </c>
      <c r="C648" s="1" t="s">
        <v>816</v>
      </c>
      <c r="D648" s="1">
        <v>62</v>
      </c>
      <c r="E648" s="1">
        <v>31</v>
      </c>
      <c r="F648" s="1" t="s">
        <v>954</v>
      </c>
      <c r="G648" s="1" t="s">
        <v>45</v>
      </c>
      <c r="H648" s="1" t="s">
        <v>24</v>
      </c>
      <c r="I648" s="1" t="s">
        <v>18</v>
      </c>
      <c r="J648" s="1">
        <v>40</v>
      </c>
      <c r="K648" s="1" t="s">
        <v>25</v>
      </c>
      <c r="L648" s="3">
        <v>98000</v>
      </c>
      <c r="M648" s="3">
        <v>98000</v>
      </c>
      <c r="N648" s="1" t="s">
        <v>29</v>
      </c>
      <c r="O648" s="5" t="str" cm="1">
        <f t="array" ref="O648">_xlfn.IFS(Table1[[#This Row],[Age]]&lt;25,"Young",Table1[[#This Row],[Age]]&lt;45,"Adult",Table1[[#This Row],[Age]]&gt;=45,"Old")</f>
        <v>Old</v>
      </c>
    </row>
    <row r="649" spans="1:15" x14ac:dyDescent="0.25">
      <c r="A649" s="1">
        <v>14043</v>
      </c>
      <c r="B649" s="1" t="s">
        <v>772</v>
      </c>
      <c r="C649" s="1" t="s">
        <v>194</v>
      </c>
      <c r="D649" s="1">
        <v>25</v>
      </c>
      <c r="E649" s="1">
        <v>7</v>
      </c>
      <c r="F649" s="1" t="s">
        <v>954</v>
      </c>
      <c r="G649" s="1" t="s">
        <v>16</v>
      </c>
      <c r="H649" s="1" t="s">
        <v>24</v>
      </c>
      <c r="I649" s="1" t="s">
        <v>18</v>
      </c>
      <c r="J649" s="1">
        <v>40</v>
      </c>
      <c r="K649" s="1" t="s">
        <v>37</v>
      </c>
      <c r="L649" s="3">
        <v>85000</v>
      </c>
      <c r="M649" s="3">
        <v>85000</v>
      </c>
      <c r="N649" s="1" t="s">
        <v>20</v>
      </c>
      <c r="O649" s="5" t="str" cm="1">
        <f t="array" ref="O649">_xlfn.IFS(Table1[[#This Row],[Age]]&lt;25,"Young",Table1[[#This Row],[Age]]&lt;45,"Adult",Table1[[#This Row],[Age]]&gt;=45,"Old")</f>
        <v>Adult</v>
      </c>
    </row>
    <row r="650" spans="1:15" x14ac:dyDescent="0.25">
      <c r="A650" s="1">
        <v>11529</v>
      </c>
      <c r="B650" s="1" t="s">
        <v>817</v>
      </c>
      <c r="C650" s="1" t="s">
        <v>47</v>
      </c>
      <c r="D650" s="1">
        <v>55</v>
      </c>
      <c r="E650" s="1">
        <v>14</v>
      </c>
      <c r="F650" s="1" t="s">
        <v>953</v>
      </c>
      <c r="G650" s="1" t="s">
        <v>50</v>
      </c>
      <c r="H650" s="1" t="s">
        <v>32</v>
      </c>
      <c r="I650" s="1" t="s">
        <v>18</v>
      </c>
      <c r="J650" s="1">
        <v>24</v>
      </c>
      <c r="K650" s="1" t="s">
        <v>42</v>
      </c>
      <c r="L650" s="3">
        <v>81939</v>
      </c>
      <c r="M650" s="3">
        <v>49163.4</v>
      </c>
      <c r="N650" s="1" t="s">
        <v>26</v>
      </c>
      <c r="O650" s="5" t="str" cm="1">
        <f t="array" ref="O650">_xlfn.IFS(Table1[[#This Row],[Age]]&lt;25,"Young",Table1[[#This Row],[Age]]&lt;45,"Adult",Table1[[#This Row],[Age]]&gt;=45,"Old")</f>
        <v>Old</v>
      </c>
    </row>
    <row r="651" spans="1:15" x14ac:dyDescent="0.25">
      <c r="A651" s="1">
        <v>18467</v>
      </c>
      <c r="B651" s="1" t="s">
        <v>767</v>
      </c>
      <c r="C651" s="1" t="s">
        <v>818</v>
      </c>
      <c r="D651" s="1">
        <v>41</v>
      </c>
      <c r="E651" s="1">
        <v>22</v>
      </c>
      <c r="F651" s="1" t="s">
        <v>954</v>
      </c>
      <c r="G651" s="1" t="s">
        <v>50</v>
      </c>
      <c r="H651" s="1" t="s">
        <v>36</v>
      </c>
      <c r="I651" s="1" t="s">
        <v>18</v>
      </c>
      <c r="J651" s="1">
        <v>40</v>
      </c>
      <c r="K651" s="1" t="s">
        <v>25</v>
      </c>
      <c r="L651" s="3">
        <v>98000</v>
      </c>
      <c r="M651" s="3">
        <v>98000</v>
      </c>
      <c r="N651" s="1" t="s">
        <v>29</v>
      </c>
      <c r="O651" s="5" t="str" cm="1">
        <f t="array" ref="O651">_xlfn.IFS(Table1[[#This Row],[Age]]&lt;25,"Young",Table1[[#This Row],[Age]]&lt;45,"Adult",Table1[[#This Row],[Age]]&gt;=45,"Old")</f>
        <v>Adult</v>
      </c>
    </row>
    <row r="652" spans="1:15" x14ac:dyDescent="0.25">
      <c r="A652" s="1">
        <v>15954</v>
      </c>
      <c r="B652" s="1" t="s">
        <v>819</v>
      </c>
      <c r="C652" s="1" t="s">
        <v>500</v>
      </c>
      <c r="D652" s="1">
        <v>58</v>
      </c>
      <c r="E652" s="1">
        <v>39</v>
      </c>
      <c r="F652" s="1" t="s">
        <v>954</v>
      </c>
      <c r="G652" s="1" t="s">
        <v>50</v>
      </c>
      <c r="H652" s="1" t="s">
        <v>36</v>
      </c>
      <c r="I652" s="1" t="s">
        <v>18</v>
      </c>
      <c r="J652" s="1">
        <v>40</v>
      </c>
      <c r="K652" s="1" t="s">
        <v>37</v>
      </c>
      <c r="L652" s="3">
        <v>85000</v>
      </c>
      <c r="M652" s="3">
        <v>85000</v>
      </c>
      <c r="N652" s="1" t="s">
        <v>29</v>
      </c>
      <c r="O652" s="5" t="str" cm="1">
        <f t="array" ref="O652">_xlfn.IFS(Table1[[#This Row],[Age]]&lt;25,"Young",Table1[[#This Row],[Age]]&lt;45,"Adult",Table1[[#This Row],[Age]]&gt;=45,"Old")</f>
        <v>Old</v>
      </c>
    </row>
    <row r="653" spans="1:15" x14ac:dyDescent="0.25">
      <c r="A653" s="1">
        <v>14311</v>
      </c>
      <c r="B653" s="1" t="s">
        <v>189</v>
      </c>
      <c r="C653" s="1" t="s">
        <v>266</v>
      </c>
      <c r="D653" s="1">
        <v>47</v>
      </c>
      <c r="E653" s="1">
        <v>20</v>
      </c>
      <c r="F653" s="1" t="s">
        <v>953</v>
      </c>
      <c r="G653" s="1" t="s">
        <v>23</v>
      </c>
      <c r="H653" s="1" t="s">
        <v>32</v>
      </c>
      <c r="I653" s="1" t="s">
        <v>18</v>
      </c>
      <c r="J653" s="1">
        <v>40</v>
      </c>
      <c r="K653" s="1" t="s">
        <v>37</v>
      </c>
      <c r="L653" s="3">
        <v>107000</v>
      </c>
      <c r="M653" s="3">
        <v>107000</v>
      </c>
      <c r="N653" s="1" t="s">
        <v>26</v>
      </c>
      <c r="O653" s="5" t="str" cm="1">
        <f t="array" ref="O653">_xlfn.IFS(Table1[[#This Row],[Age]]&lt;25,"Young",Table1[[#This Row],[Age]]&lt;45,"Adult",Table1[[#This Row],[Age]]&gt;=45,"Old")</f>
        <v>Old</v>
      </c>
    </row>
    <row r="654" spans="1:15" x14ac:dyDescent="0.25">
      <c r="A654" s="1">
        <v>2344</v>
      </c>
      <c r="B654" s="1" t="s">
        <v>423</v>
      </c>
      <c r="C654" s="1" t="s">
        <v>446</v>
      </c>
      <c r="D654" s="1">
        <v>60</v>
      </c>
      <c r="E654" s="1">
        <v>13</v>
      </c>
      <c r="F654" s="1" t="s">
        <v>954</v>
      </c>
      <c r="G654" s="1" t="s">
        <v>35</v>
      </c>
      <c r="H654" s="1" t="s">
        <v>24</v>
      </c>
      <c r="I654" s="1" t="s">
        <v>18</v>
      </c>
      <c r="J654" s="1">
        <v>20</v>
      </c>
      <c r="K654" s="1" t="s">
        <v>19</v>
      </c>
      <c r="L654" s="3">
        <v>119751</v>
      </c>
      <c r="M654" s="3">
        <v>59875.5</v>
      </c>
      <c r="N654" s="1" t="s">
        <v>26</v>
      </c>
      <c r="O654" s="5" t="str" cm="1">
        <f t="array" ref="O654">_xlfn.IFS(Table1[[#This Row],[Age]]&lt;25,"Young",Table1[[#This Row],[Age]]&lt;45,"Adult",Table1[[#This Row],[Age]]&gt;=45,"Old")</f>
        <v>Old</v>
      </c>
    </row>
    <row r="655" spans="1:15" x14ac:dyDescent="0.25">
      <c r="A655" s="1">
        <v>2727</v>
      </c>
      <c r="B655" s="1" t="s">
        <v>820</v>
      </c>
      <c r="C655" s="1" t="s">
        <v>821</v>
      </c>
      <c r="D655" s="1">
        <v>38</v>
      </c>
      <c r="E655" s="1">
        <v>6</v>
      </c>
      <c r="F655" s="1" t="s">
        <v>953</v>
      </c>
      <c r="G655" s="1" t="s">
        <v>45</v>
      </c>
      <c r="H655" s="1" t="s">
        <v>24</v>
      </c>
      <c r="I655" s="1" t="s">
        <v>18</v>
      </c>
      <c r="J655" s="1">
        <v>40</v>
      </c>
      <c r="K655" s="1" t="s">
        <v>25</v>
      </c>
      <c r="L655" s="3">
        <v>122000</v>
      </c>
      <c r="M655" s="3">
        <v>122000</v>
      </c>
      <c r="N655" s="1" t="s">
        <v>26</v>
      </c>
      <c r="O655" s="5" t="str" cm="1">
        <f t="array" ref="O655">_xlfn.IFS(Table1[[#This Row],[Age]]&lt;25,"Young",Table1[[#This Row],[Age]]&lt;45,"Adult",Table1[[#This Row],[Age]]&gt;=45,"Old")</f>
        <v>Adult</v>
      </c>
    </row>
    <row r="656" spans="1:15" x14ac:dyDescent="0.25">
      <c r="A656" s="1">
        <v>7464</v>
      </c>
      <c r="B656" s="1" t="s">
        <v>511</v>
      </c>
      <c r="C656" s="1" t="s">
        <v>104</v>
      </c>
      <c r="D656" s="1">
        <v>37</v>
      </c>
      <c r="E656" s="1">
        <v>12</v>
      </c>
      <c r="F656" s="1" t="s">
        <v>953</v>
      </c>
      <c r="G656" s="1" t="s">
        <v>23</v>
      </c>
      <c r="H656" s="1" t="s">
        <v>32</v>
      </c>
      <c r="I656" s="1" t="s">
        <v>18</v>
      </c>
      <c r="J656" s="1">
        <v>40</v>
      </c>
      <c r="K656" s="1" t="s">
        <v>37</v>
      </c>
      <c r="L656" s="3">
        <v>104423</v>
      </c>
      <c r="M656" s="3">
        <v>104423</v>
      </c>
      <c r="N656" s="1" t="s">
        <v>26</v>
      </c>
      <c r="O656" s="5" t="str" cm="1">
        <f t="array" ref="O656">_xlfn.IFS(Table1[[#This Row],[Age]]&lt;25,"Young",Table1[[#This Row],[Age]]&lt;45,"Adult",Table1[[#This Row],[Age]]&gt;=45,"Old")</f>
        <v>Adult</v>
      </c>
    </row>
    <row r="657" spans="1:15" x14ac:dyDescent="0.25">
      <c r="A657" s="1">
        <v>14454</v>
      </c>
      <c r="B657" s="1" t="s">
        <v>822</v>
      </c>
      <c r="C657" s="1" t="s">
        <v>794</v>
      </c>
      <c r="D657" s="1">
        <v>50</v>
      </c>
      <c r="E657" s="1">
        <v>15</v>
      </c>
      <c r="F657" s="1" t="s">
        <v>953</v>
      </c>
      <c r="G657" s="1" t="s">
        <v>35</v>
      </c>
      <c r="H657" s="1" t="s">
        <v>24</v>
      </c>
      <c r="I657" s="1" t="s">
        <v>18</v>
      </c>
      <c r="J657" s="1">
        <v>16</v>
      </c>
      <c r="K657" s="1" t="s">
        <v>37</v>
      </c>
      <c r="L657" s="3">
        <v>91800</v>
      </c>
      <c r="M657" s="3">
        <v>36720</v>
      </c>
      <c r="N657" s="1" t="s">
        <v>20</v>
      </c>
      <c r="O657" s="5" t="str" cm="1">
        <f t="array" ref="O657">_xlfn.IFS(Table1[[#This Row],[Age]]&lt;25,"Young",Table1[[#This Row],[Age]]&lt;45,"Adult",Table1[[#This Row],[Age]]&gt;=45,"Old")</f>
        <v>Old</v>
      </c>
    </row>
    <row r="658" spans="1:15" x14ac:dyDescent="0.25">
      <c r="A658" s="1">
        <v>13449</v>
      </c>
      <c r="B658" s="1" t="s">
        <v>823</v>
      </c>
      <c r="C658" s="1" t="s">
        <v>824</v>
      </c>
      <c r="D658" s="1">
        <v>33</v>
      </c>
      <c r="E658" s="1">
        <v>8</v>
      </c>
      <c r="F658" s="1" t="s">
        <v>953</v>
      </c>
      <c r="G658" s="1" t="s">
        <v>50</v>
      </c>
      <c r="H658" s="1" t="s">
        <v>24</v>
      </c>
      <c r="I658" s="1" t="s">
        <v>18</v>
      </c>
      <c r="J658" s="1">
        <v>20</v>
      </c>
      <c r="K658" s="1" t="s">
        <v>19</v>
      </c>
      <c r="L658" s="3">
        <v>124200</v>
      </c>
      <c r="M658" s="3">
        <v>62100</v>
      </c>
      <c r="N658" s="1" t="s">
        <v>29</v>
      </c>
      <c r="O658" s="5" t="str" cm="1">
        <f t="array" ref="O658">_xlfn.IFS(Table1[[#This Row],[Age]]&lt;25,"Young",Table1[[#This Row],[Age]]&lt;45,"Adult",Table1[[#This Row],[Age]]&gt;=45,"Old")</f>
        <v>Adult</v>
      </c>
    </row>
    <row r="659" spans="1:15" x14ac:dyDescent="0.25">
      <c r="A659" s="1">
        <v>19826</v>
      </c>
      <c r="B659" s="1" t="s">
        <v>825</v>
      </c>
      <c r="C659" s="1" t="s">
        <v>826</v>
      </c>
      <c r="D659" s="1">
        <v>58</v>
      </c>
      <c r="E659" s="1">
        <v>27</v>
      </c>
      <c r="F659" s="1" t="s">
        <v>953</v>
      </c>
      <c r="G659" s="1" t="s">
        <v>50</v>
      </c>
      <c r="H659" s="1" t="s">
        <v>32</v>
      </c>
      <c r="I659" s="1" t="s">
        <v>51</v>
      </c>
      <c r="J659" s="1">
        <v>24</v>
      </c>
      <c r="K659" s="1" t="s">
        <v>42</v>
      </c>
      <c r="L659" s="3">
        <v>76113</v>
      </c>
      <c r="M659" s="3">
        <v>45667.8</v>
      </c>
      <c r="N659" s="1" t="s">
        <v>29</v>
      </c>
      <c r="O659" s="5" t="str" cm="1">
        <f t="array" ref="O659">_xlfn.IFS(Table1[[#This Row],[Age]]&lt;25,"Young",Table1[[#This Row],[Age]]&lt;45,"Adult",Table1[[#This Row],[Age]]&gt;=45,"Old")</f>
        <v>Old</v>
      </c>
    </row>
    <row r="660" spans="1:15" x14ac:dyDescent="0.25">
      <c r="A660" s="1">
        <v>1327</v>
      </c>
      <c r="B660" s="1" t="s">
        <v>206</v>
      </c>
      <c r="C660" s="1" t="s">
        <v>666</v>
      </c>
      <c r="D660" s="1">
        <v>42</v>
      </c>
      <c r="E660" s="1">
        <v>15</v>
      </c>
      <c r="F660" s="1" t="s">
        <v>954</v>
      </c>
      <c r="G660" s="1" t="s">
        <v>45</v>
      </c>
      <c r="H660" s="1" t="s">
        <v>36</v>
      </c>
      <c r="I660" s="1" t="s">
        <v>18</v>
      </c>
      <c r="J660" s="1">
        <v>40</v>
      </c>
      <c r="K660" s="1" t="s">
        <v>37</v>
      </c>
      <c r="L660" s="3">
        <v>92409</v>
      </c>
      <c r="M660" s="3">
        <v>92409</v>
      </c>
      <c r="N660" s="1" t="s">
        <v>29</v>
      </c>
      <c r="O660" s="5" t="str" cm="1">
        <f t="array" ref="O660">_xlfn.IFS(Table1[[#This Row],[Age]]&lt;25,"Young",Table1[[#This Row],[Age]]&lt;45,"Adult",Table1[[#This Row],[Age]]&gt;=45,"Old")</f>
        <v>Adult</v>
      </c>
    </row>
    <row r="661" spans="1:15" x14ac:dyDescent="0.25">
      <c r="A661" s="1">
        <v>19551</v>
      </c>
      <c r="B661" s="1" t="s">
        <v>98</v>
      </c>
      <c r="C661" s="1" t="s">
        <v>827</v>
      </c>
      <c r="D661" s="1">
        <v>41</v>
      </c>
      <c r="E661" s="1">
        <v>3</v>
      </c>
      <c r="F661" s="1" t="s">
        <v>953</v>
      </c>
      <c r="G661" s="1" t="s">
        <v>50</v>
      </c>
      <c r="H661" s="1" t="s">
        <v>36</v>
      </c>
      <c r="I661" s="1" t="s">
        <v>18</v>
      </c>
      <c r="J661" s="1">
        <v>40</v>
      </c>
      <c r="K661" s="1" t="s">
        <v>25</v>
      </c>
      <c r="L661" s="3">
        <v>111832</v>
      </c>
      <c r="M661" s="3">
        <v>111832</v>
      </c>
      <c r="N661" s="1" t="s">
        <v>29</v>
      </c>
      <c r="O661" s="5" t="str" cm="1">
        <f t="array" ref="O661">_xlfn.IFS(Table1[[#This Row],[Age]]&lt;25,"Young",Table1[[#This Row],[Age]]&lt;45,"Adult",Table1[[#This Row],[Age]]&gt;=45,"Old")</f>
        <v>Adult</v>
      </c>
    </row>
    <row r="662" spans="1:15" x14ac:dyDescent="0.25">
      <c r="A662" s="1">
        <v>13151</v>
      </c>
      <c r="B662" s="1" t="s">
        <v>828</v>
      </c>
      <c r="C662" s="1" t="s">
        <v>829</v>
      </c>
      <c r="D662" s="1">
        <v>64</v>
      </c>
      <c r="E662" s="1">
        <v>32</v>
      </c>
      <c r="F662" s="1" t="s">
        <v>953</v>
      </c>
      <c r="G662" s="1" t="s">
        <v>35</v>
      </c>
      <c r="H662" s="1" t="s">
        <v>36</v>
      </c>
      <c r="I662" s="1" t="s">
        <v>18</v>
      </c>
      <c r="J662" s="1">
        <v>20</v>
      </c>
      <c r="K662" s="1" t="s">
        <v>42</v>
      </c>
      <c r="L662" s="3">
        <v>73440</v>
      </c>
      <c r="M662" s="3">
        <v>36720</v>
      </c>
      <c r="N662" s="1" t="s">
        <v>20</v>
      </c>
      <c r="O662" s="5" t="str" cm="1">
        <f t="array" ref="O662">_xlfn.IFS(Table1[[#This Row],[Age]]&lt;25,"Young",Table1[[#This Row],[Age]]&lt;45,"Adult",Table1[[#This Row],[Age]]&gt;=45,"Old")</f>
        <v>Old</v>
      </c>
    </row>
    <row r="663" spans="1:15" x14ac:dyDescent="0.25">
      <c r="A663" s="1">
        <v>1994</v>
      </c>
      <c r="B663" s="1" t="s">
        <v>69</v>
      </c>
      <c r="C663" s="1" t="s">
        <v>360</v>
      </c>
      <c r="D663" s="1">
        <v>20</v>
      </c>
      <c r="E663" s="1">
        <v>2</v>
      </c>
      <c r="F663" s="1" t="s">
        <v>954</v>
      </c>
      <c r="G663" s="1" t="s">
        <v>16</v>
      </c>
      <c r="H663" s="1" t="s">
        <v>24</v>
      </c>
      <c r="I663" s="1" t="s">
        <v>18</v>
      </c>
      <c r="J663" s="1">
        <v>20</v>
      </c>
      <c r="K663" s="1" t="s">
        <v>25</v>
      </c>
      <c r="L663" s="3">
        <v>108538</v>
      </c>
      <c r="M663" s="3">
        <v>54269</v>
      </c>
      <c r="N663" s="1" t="s">
        <v>29</v>
      </c>
      <c r="O663" s="5" t="str" cm="1">
        <f t="array" ref="O663">_xlfn.IFS(Table1[[#This Row],[Age]]&lt;25,"Young",Table1[[#This Row],[Age]]&lt;45,"Adult",Table1[[#This Row],[Age]]&gt;=45,"Old")</f>
        <v>Young</v>
      </c>
    </row>
    <row r="664" spans="1:15" x14ac:dyDescent="0.25">
      <c r="A664" s="1">
        <v>19550</v>
      </c>
      <c r="B664" s="1" t="s">
        <v>350</v>
      </c>
      <c r="C664" s="1" t="s">
        <v>194</v>
      </c>
      <c r="D664" s="1">
        <v>36</v>
      </c>
      <c r="E664" s="1">
        <v>9</v>
      </c>
      <c r="F664" s="1" t="s">
        <v>953</v>
      </c>
      <c r="G664" s="1" t="s">
        <v>23</v>
      </c>
      <c r="H664" s="1" t="s">
        <v>17</v>
      </c>
      <c r="I664" s="1" t="s">
        <v>18</v>
      </c>
      <c r="J664" s="1">
        <v>20</v>
      </c>
      <c r="K664" s="1" t="s">
        <v>25</v>
      </c>
      <c r="L664" s="3">
        <v>110458</v>
      </c>
      <c r="M664" s="3">
        <v>55229</v>
      </c>
      <c r="N664" s="1" t="s">
        <v>26</v>
      </c>
      <c r="O664" s="5" t="str" cm="1">
        <f t="array" ref="O664">_xlfn.IFS(Table1[[#This Row],[Age]]&lt;25,"Young",Table1[[#This Row],[Age]]&lt;45,"Adult",Table1[[#This Row],[Age]]&gt;=45,"Old")</f>
        <v>Adult</v>
      </c>
    </row>
    <row r="665" spans="1:15" x14ac:dyDescent="0.25">
      <c r="A665" s="1">
        <v>16316</v>
      </c>
      <c r="B665" s="1" t="s">
        <v>98</v>
      </c>
      <c r="C665" s="1" t="s">
        <v>138</v>
      </c>
      <c r="D665" s="1">
        <v>44</v>
      </c>
      <c r="E665" s="1">
        <v>11</v>
      </c>
      <c r="F665" s="1" t="s">
        <v>953</v>
      </c>
      <c r="G665" s="1" t="s">
        <v>35</v>
      </c>
      <c r="H665" s="1" t="s">
        <v>32</v>
      </c>
      <c r="I665" s="1" t="s">
        <v>18</v>
      </c>
      <c r="J665" s="1">
        <v>40</v>
      </c>
      <c r="K665" s="1" t="s">
        <v>25</v>
      </c>
      <c r="L665" s="3">
        <v>122000</v>
      </c>
      <c r="M665" s="3">
        <v>122000</v>
      </c>
      <c r="N665" s="1" t="s">
        <v>26</v>
      </c>
      <c r="O665" s="5" t="str" cm="1">
        <f t="array" ref="O665">_xlfn.IFS(Table1[[#This Row],[Age]]&lt;25,"Young",Table1[[#This Row],[Age]]&lt;45,"Adult",Table1[[#This Row],[Age]]&gt;=45,"Old")</f>
        <v>Adult</v>
      </c>
    </row>
    <row r="666" spans="1:15" x14ac:dyDescent="0.25">
      <c r="A666" s="1">
        <v>880</v>
      </c>
      <c r="B666" s="1" t="s">
        <v>391</v>
      </c>
      <c r="C666" s="1" t="s">
        <v>830</v>
      </c>
      <c r="D666" s="1">
        <v>46</v>
      </c>
      <c r="E666" s="1">
        <v>12</v>
      </c>
      <c r="F666" s="1" t="s">
        <v>953</v>
      </c>
      <c r="G666" s="1" t="s">
        <v>50</v>
      </c>
      <c r="H666" s="1" t="s">
        <v>24</v>
      </c>
      <c r="I666" s="1" t="s">
        <v>18</v>
      </c>
      <c r="J666" s="1">
        <v>32</v>
      </c>
      <c r="K666" s="1" t="s">
        <v>19</v>
      </c>
      <c r="L666" s="3">
        <v>124200</v>
      </c>
      <c r="M666" s="3">
        <v>99360</v>
      </c>
      <c r="N666" s="1" t="s">
        <v>20</v>
      </c>
      <c r="O666" s="5" t="str" cm="1">
        <f t="array" ref="O666">_xlfn.IFS(Table1[[#This Row],[Age]]&lt;25,"Young",Table1[[#This Row],[Age]]&lt;45,"Adult",Table1[[#This Row],[Age]]&gt;=45,"Old")</f>
        <v>Old</v>
      </c>
    </row>
    <row r="667" spans="1:15" x14ac:dyDescent="0.25">
      <c r="A667" s="1">
        <v>12213</v>
      </c>
      <c r="B667" s="1" t="s">
        <v>100</v>
      </c>
      <c r="C667" s="1" t="s">
        <v>435</v>
      </c>
      <c r="D667" s="1">
        <v>22</v>
      </c>
      <c r="E667" s="1">
        <v>1</v>
      </c>
      <c r="F667" s="1" t="s">
        <v>953</v>
      </c>
      <c r="G667" s="1" t="s">
        <v>23</v>
      </c>
      <c r="H667" s="1" t="s">
        <v>24</v>
      </c>
      <c r="I667" s="1" t="s">
        <v>18</v>
      </c>
      <c r="J667" s="1">
        <v>16</v>
      </c>
      <c r="K667" s="1" t="s">
        <v>52</v>
      </c>
      <c r="L667" s="3">
        <v>141809</v>
      </c>
      <c r="M667" s="3">
        <v>56723.6</v>
      </c>
      <c r="N667" s="1" t="s">
        <v>20</v>
      </c>
      <c r="O667" s="5" t="str" cm="1">
        <f t="array" ref="O667">_xlfn.IFS(Table1[[#This Row],[Age]]&lt;25,"Young",Table1[[#This Row],[Age]]&lt;45,"Adult",Table1[[#This Row],[Age]]&gt;=45,"Old")</f>
        <v>Young</v>
      </c>
    </row>
    <row r="668" spans="1:15" x14ac:dyDescent="0.25">
      <c r="A668" s="1">
        <v>18330</v>
      </c>
      <c r="B668" s="1" t="s">
        <v>698</v>
      </c>
      <c r="C668" s="1" t="s">
        <v>34</v>
      </c>
      <c r="D668" s="1">
        <v>40</v>
      </c>
      <c r="E668" s="1">
        <v>3</v>
      </c>
      <c r="F668" s="1" t="s">
        <v>954</v>
      </c>
      <c r="G668" s="1" t="s">
        <v>16</v>
      </c>
      <c r="H668" s="1" t="s">
        <v>17</v>
      </c>
      <c r="I668" s="1" t="s">
        <v>18</v>
      </c>
      <c r="J668" s="1">
        <v>20</v>
      </c>
      <c r="K668" s="1" t="s">
        <v>19</v>
      </c>
      <c r="L668" s="3">
        <v>124027</v>
      </c>
      <c r="M668" s="3">
        <v>62013.5</v>
      </c>
      <c r="N668" s="1" t="s">
        <v>26</v>
      </c>
      <c r="O668" s="5" t="str" cm="1">
        <f t="array" ref="O668">_xlfn.IFS(Table1[[#This Row],[Age]]&lt;25,"Young",Table1[[#This Row],[Age]]&lt;45,"Adult",Table1[[#This Row],[Age]]&gt;=45,"Old")</f>
        <v>Adult</v>
      </c>
    </row>
    <row r="669" spans="1:15" x14ac:dyDescent="0.25">
      <c r="A669" s="1">
        <v>10471</v>
      </c>
      <c r="B669" s="1" t="s">
        <v>325</v>
      </c>
      <c r="C669" s="1" t="s">
        <v>831</v>
      </c>
      <c r="D669" s="1">
        <v>55</v>
      </c>
      <c r="E669" s="1">
        <v>13</v>
      </c>
      <c r="F669" s="1" t="s">
        <v>954</v>
      </c>
      <c r="G669" s="1" t="s">
        <v>16</v>
      </c>
      <c r="H669" s="1" t="s">
        <v>36</v>
      </c>
      <c r="I669" s="1" t="s">
        <v>18</v>
      </c>
      <c r="J669" s="1">
        <v>40</v>
      </c>
      <c r="K669" s="1" t="s">
        <v>37</v>
      </c>
      <c r="L669" s="3">
        <v>87571</v>
      </c>
      <c r="M669" s="3">
        <v>87571</v>
      </c>
      <c r="N669" s="1" t="s">
        <v>29</v>
      </c>
      <c r="O669" s="5" t="str" cm="1">
        <f t="array" ref="O669">_xlfn.IFS(Table1[[#This Row],[Age]]&lt;25,"Young",Table1[[#This Row],[Age]]&lt;45,"Adult",Table1[[#This Row],[Age]]&gt;=45,"Old")</f>
        <v>Old</v>
      </c>
    </row>
    <row r="670" spans="1:15" x14ac:dyDescent="0.25">
      <c r="A670" s="1">
        <v>13466</v>
      </c>
      <c r="B670" s="1" t="s">
        <v>82</v>
      </c>
      <c r="C670" s="1" t="s">
        <v>581</v>
      </c>
      <c r="D670" s="1">
        <v>45</v>
      </c>
      <c r="E670" s="1">
        <v>6</v>
      </c>
      <c r="F670" s="1" t="s">
        <v>954</v>
      </c>
      <c r="G670" s="1" t="s">
        <v>50</v>
      </c>
      <c r="H670" s="1" t="s">
        <v>24</v>
      </c>
      <c r="I670" s="1" t="s">
        <v>18</v>
      </c>
      <c r="J670" s="1">
        <v>20</v>
      </c>
      <c r="K670" s="1" t="s">
        <v>19</v>
      </c>
      <c r="L670" s="3">
        <v>115000</v>
      </c>
      <c r="M670" s="3">
        <v>57500</v>
      </c>
      <c r="N670" s="1" t="s">
        <v>20</v>
      </c>
      <c r="O670" s="5" t="str" cm="1">
        <f t="array" ref="O670">_xlfn.IFS(Table1[[#This Row],[Age]]&lt;25,"Young",Table1[[#This Row],[Age]]&lt;45,"Adult",Table1[[#This Row],[Age]]&gt;=45,"Old")</f>
        <v>Old</v>
      </c>
    </row>
    <row r="671" spans="1:15" x14ac:dyDescent="0.25">
      <c r="A671" s="1">
        <v>14417</v>
      </c>
      <c r="B671" s="1" t="s">
        <v>308</v>
      </c>
      <c r="C671" s="1" t="s">
        <v>832</v>
      </c>
      <c r="D671" s="1">
        <v>33</v>
      </c>
      <c r="E671" s="1">
        <v>7</v>
      </c>
      <c r="F671" s="1" t="s">
        <v>953</v>
      </c>
      <c r="G671" s="1" t="s">
        <v>50</v>
      </c>
      <c r="H671" s="1" t="s">
        <v>36</v>
      </c>
      <c r="I671" s="1" t="s">
        <v>18</v>
      </c>
      <c r="J671" s="1">
        <v>20</v>
      </c>
      <c r="K671" s="1" t="s">
        <v>37</v>
      </c>
      <c r="L671" s="3">
        <v>91800</v>
      </c>
      <c r="M671" s="3">
        <v>45900</v>
      </c>
      <c r="N671" s="1" t="s">
        <v>20</v>
      </c>
      <c r="O671" s="5" t="str" cm="1">
        <f t="array" ref="O671">_xlfn.IFS(Table1[[#This Row],[Age]]&lt;25,"Young",Table1[[#This Row],[Age]]&lt;45,"Adult",Table1[[#This Row],[Age]]&gt;=45,"Old")</f>
        <v>Adult</v>
      </c>
    </row>
    <row r="672" spans="1:15" x14ac:dyDescent="0.25">
      <c r="A672" s="1">
        <v>18323</v>
      </c>
      <c r="B672" s="1" t="s">
        <v>833</v>
      </c>
      <c r="C672" s="1" t="s">
        <v>834</v>
      </c>
      <c r="D672" s="1">
        <v>40</v>
      </c>
      <c r="E672" s="1">
        <v>2</v>
      </c>
      <c r="F672" s="1" t="s">
        <v>953</v>
      </c>
      <c r="G672" s="1" t="s">
        <v>23</v>
      </c>
      <c r="H672" s="1" t="s">
        <v>24</v>
      </c>
      <c r="I672" s="1" t="s">
        <v>18</v>
      </c>
      <c r="J672" s="1">
        <v>40</v>
      </c>
      <c r="K672" s="1" t="s">
        <v>25</v>
      </c>
      <c r="L672" s="3">
        <v>110550</v>
      </c>
      <c r="M672" s="3">
        <v>110550</v>
      </c>
      <c r="N672" s="1" t="s">
        <v>26</v>
      </c>
      <c r="O672" s="5" t="str" cm="1">
        <f t="array" ref="O672">_xlfn.IFS(Table1[[#This Row],[Age]]&lt;25,"Young",Table1[[#This Row],[Age]]&lt;45,"Adult",Table1[[#This Row],[Age]]&gt;=45,"Old")</f>
        <v>Adult</v>
      </c>
    </row>
    <row r="673" spans="1:15" x14ac:dyDescent="0.25">
      <c r="A673" s="1">
        <v>18582</v>
      </c>
      <c r="B673" s="1" t="s">
        <v>152</v>
      </c>
      <c r="C673" s="1" t="s">
        <v>342</v>
      </c>
      <c r="D673" s="1">
        <v>47</v>
      </c>
      <c r="E673" s="1">
        <v>17</v>
      </c>
      <c r="F673" s="1" t="s">
        <v>954</v>
      </c>
      <c r="G673" s="1" t="s">
        <v>45</v>
      </c>
      <c r="H673" s="1" t="s">
        <v>17</v>
      </c>
      <c r="I673" s="1" t="s">
        <v>51</v>
      </c>
      <c r="J673" s="1">
        <v>20</v>
      </c>
      <c r="K673" s="1" t="s">
        <v>25</v>
      </c>
      <c r="L673" s="3">
        <v>98000</v>
      </c>
      <c r="M673" s="3">
        <v>49000</v>
      </c>
      <c r="N673" s="1" t="s">
        <v>20</v>
      </c>
      <c r="O673" s="5" t="str" cm="1">
        <f t="array" ref="O673">_xlfn.IFS(Table1[[#This Row],[Age]]&lt;25,"Young",Table1[[#This Row],[Age]]&lt;45,"Adult",Table1[[#This Row],[Age]]&gt;=45,"Old")</f>
        <v>Old</v>
      </c>
    </row>
    <row r="674" spans="1:15" x14ac:dyDescent="0.25">
      <c r="A674" s="1">
        <v>20454</v>
      </c>
      <c r="B674" s="1" t="s">
        <v>175</v>
      </c>
      <c r="C674" s="1" t="s">
        <v>835</v>
      </c>
      <c r="D674" s="1">
        <v>26</v>
      </c>
      <c r="E674" s="1">
        <v>4</v>
      </c>
      <c r="F674" s="1" t="s">
        <v>953</v>
      </c>
      <c r="G674" s="1" t="s">
        <v>16</v>
      </c>
      <c r="H674" s="1" t="s">
        <v>32</v>
      </c>
      <c r="I674" s="1" t="s">
        <v>18</v>
      </c>
      <c r="J674" s="1">
        <v>40</v>
      </c>
      <c r="K674" s="1" t="s">
        <v>42</v>
      </c>
      <c r="L674" s="3">
        <v>87000</v>
      </c>
      <c r="M674" s="3">
        <v>87000</v>
      </c>
      <c r="N674" s="1" t="s">
        <v>29</v>
      </c>
      <c r="O674" s="5" t="str" cm="1">
        <f t="array" ref="O674">_xlfn.IFS(Table1[[#This Row],[Age]]&lt;25,"Young",Table1[[#This Row],[Age]]&lt;45,"Adult",Table1[[#This Row],[Age]]&gt;=45,"Old")</f>
        <v>Adult</v>
      </c>
    </row>
    <row r="675" spans="1:15" x14ac:dyDescent="0.25">
      <c r="A675" s="1">
        <v>7913</v>
      </c>
      <c r="B675" s="1" t="s">
        <v>182</v>
      </c>
      <c r="C675" s="1" t="s">
        <v>83</v>
      </c>
      <c r="D675" s="1">
        <v>29</v>
      </c>
      <c r="E675" s="1">
        <v>2</v>
      </c>
      <c r="F675" s="1" t="s">
        <v>953</v>
      </c>
      <c r="G675" s="1" t="s">
        <v>35</v>
      </c>
      <c r="H675" s="1" t="s">
        <v>32</v>
      </c>
      <c r="I675" s="1" t="s">
        <v>18</v>
      </c>
      <c r="J675" s="1">
        <v>20</v>
      </c>
      <c r="K675" s="1" t="s">
        <v>25</v>
      </c>
      <c r="L675" s="3">
        <v>105840</v>
      </c>
      <c r="M675" s="3">
        <v>52920</v>
      </c>
      <c r="N675" s="1" t="s">
        <v>29</v>
      </c>
      <c r="O675" s="5" t="str" cm="1">
        <f t="array" ref="O675">_xlfn.IFS(Table1[[#This Row],[Age]]&lt;25,"Young",Table1[[#This Row],[Age]]&lt;45,"Adult",Table1[[#This Row],[Age]]&gt;=45,"Old")</f>
        <v>Adult</v>
      </c>
    </row>
    <row r="676" spans="1:15" x14ac:dyDescent="0.25">
      <c r="A676" s="1">
        <v>16685</v>
      </c>
      <c r="B676" s="1" t="s">
        <v>149</v>
      </c>
      <c r="C676" s="1" t="s">
        <v>836</v>
      </c>
      <c r="D676" s="1">
        <v>42</v>
      </c>
      <c r="E676" s="1">
        <v>14</v>
      </c>
      <c r="F676" s="1" t="s">
        <v>953</v>
      </c>
      <c r="G676" s="1" t="s">
        <v>35</v>
      </c>
      <c r="H676" s="1" t="s">
        <v>24</v>
      </c>
      <c r="I676" s="1" t="s">
        <v>18</v>
      </c>
      <c r="J676" s="1">
        <v>40</v>
      </c>
      <c r="K676" s="1" t="s">
        <v>25</v>
      </c>
      <c r="L676" s="3">
        <v>119940</v>
      </c>
      <c r="M676" s="3">
        <v>119940</v>
      </c>
      <c r="N676" s="1" t="s">
        <v>29</v>
      </c>
      <c r="O676" s="5" t="str" cm="1">
        <f t="array" ref="O676">_xlfn.IFS(Table1[[#This Row],[Age]]&lt;25,"Young",Table1[[#This Row],[Age]]&lt;45,"Adult",Table1[[#This Row],[Age]]&gt;=45,"Old")</f>
        <v>Adult</v>
      </c>
    </row>
    <row r="677" spans="1:15" x14ac:dyDescent="0.25">
      <c r="A677" s="1">
        <v>7877</v>
      </c>
      <c r="B677" s="1" t="s">
        <v>325</v>
      </c>
      <c r="C677" s="1" t="s">
        <v>793</v>
      </c>
      <c r="D677" s="1">
        <v>31</v>
      </c>
      <c r="E677" s="1">
        <v>10</v>
      </c>
      <c r="F677" s="1" t="s">
        <v>954</v>
      </c>
      <c r="G677" s="1" t="s">
        <v>16</v>
      </c>
      <c r="H677" s="1" t="s">
        <v>64</v>
      </c>
      <c r="I677" s="1" t="s">
        <v>18</v>
      </c>
      <c r="J677" s="1">
        <v>40</v>
      </c>
      <c r="K677" s="1" t="s">
        <v>25</v>
      </c>
      <c r="L677" s="3">
        <v>98000</v>
      </c>
      <c r="M677" s="3">
        <v>98000</v>
      </c>
      <c r="N677" s="1" t="s">
        <v>20</v>
      </c>
      <c r="O677" s="5" t="str" cm="1">
        <f t="array" ref="O677">_xlfn.IFS(Table1[[#This Row],[Age]]&lt;25,"Young",Table1[[#This Row],[Age]]&lt;45,"Adult",Table1[[#This Row],[Age]]&gt;=45,"Old")</f>
        <v>Adult</v>
      </c>
    </row>
    <row r="678" spans="1:15" x14ac:dyDescent="0.25">
      <c r="A678" s="1">
        <v>9630</v>
      </c>
      <c r="B678" s="1" t="s">
        <v>236</v>
      </c>
      <c r="C678" s="1" t="s">
        <v>94</v>
      </c>
      <c r="D678" s="1">
        <v>30</v>
      </c>
      <c r="E678" s="1">
        <v>2</v>
      </c>
      <c r="F678" s="1" t="s">
        <v>954</v>
      </c>
      <c r="G678" s="1" t="s">
        <v>50</v>
      </c>
      <c r="H678" s="1" t="s">
        <v>17</v>
      </c>
      <c r="I678" s="1" t="s">
        <v>18</v>
      </c>
      <c r="J678" s="1">
        <v>24</v>
      </c>
      <c r="K678" s="1" t="s">
        <v>25</v>
      </c>
      <c r="L678" s="3">
        <v>98000</v>
      </c>
      <c r="M678" s="3">
        <v>58800</v>
      </c>
      <c r="N678" s="1" t="s">
        <v>20</v>
      </c>
      <c r="O678" s="5" t="str" cm="1">
        <f t="array" ref="O678">_xlfn.IFS(Table1[[#This Row],[Age]]&lt;25,"Young",Table1[[#This Row],[Age]]&lt;45,"Adult",Table1[[#This Row],[Age]]&gt;=45,"Old")</f>
        <v>Adult</v>
      </c>
    </row>
    <row r="679" spans="1:15" x14ac:dyDescent="0.25">
      <c r="A679" s="1">
        <v>14968</v>
      </c>
      <c r="B679" s="1" t="s">
        <v>568</v>
      </c>
      <c r="C679" s="1" t="s">
        <v>287</v>
      </c>
      <c r="D679" s="1">
        <v>46</v>
      </c>
      <c r="E679" s="1">
        <v>18</v>
      </c>
      <c r="F679" s="1" t="s">
        <v>954</v>
      </c>
      <c r="G679" s="1" t="s">
        <v>45</v>
      </c>
      <c r="H679" s="1" t="s">
        <v>36</v>
      </c>
      <c r="I679" s="1" t="s">
        <v>18</v>
      </c>
      <c r="J679" s="1">
        <v>16</v>
      </c>
      <c r="K679" s="1" t="s">
        <v>25</v>
      </c>
      <c r="L679" s="3">
        <v>98000</v>
      </c>
      <c r="M679" s="3">
        <v>39200</v>
      </c>
      <c r="N679" s="1" t="s">
        <v>20</v>
      </c>
      <c r="O679" s="5" t="str" cm="1">
        <f t="array" ref="O679">_xlfn.IFS(Table1[[#This Row],[Age]]&lt;25,"Young",Table1[[#This Row],[Age]]&lt;45,"Adult",Table1[[#This Row],[Age]]&gt;=45,"Old")</f>
        <v>Old</v>
      </c>
    </row>
    <row r="680" spans="1:15" x14ac:dyDescent="0.25">
      <c r="A680" s="1">
        <v>1638</v>
      </c>
      <c r="B680" s="1" t="s">
        <v>231</v>
      </c>
      <c r="C680" s="1" t="s">
        <v>246</v>
      </c>
      <c r="D680" s="1">
        <v>57</v>
      </c>
      <c r="E680" s="1">
        <v>29</v>
      </c>
      <c r="F680" s="1" t="s">
        <v>954</v>
      </c>
      <c r="G680" s="1" t="s">
        <v>16</v>
      </c>
      <c r="H680" s="1" t="s">
        <v>24</v>
      </c>
      <c r="I680" s="1" t="s">
        <v>18</v>
      </c>
      <c r="J680" s="1">
        <v>40</v>
      </c>
      <c r="K680" s="1" t="s">
        <v>52</v>
      </c>
      <c r="L680" s="3">
        <v>130000</v>
      </c>
      <c r="M680" s="3">
        <v>130000</v>
      </c>
      <c r="N680" s="1" t="s">
        <v>20</v>
      </c>
      <c r="O680" s="5" t="str" cm="1">
        <f t="array" ref="O680">_xlfn.IFS(Table1[[#This Row],[Age]]&lt;25,"Young",Table1[[#This Row],[Age]]&lt;45,"Adult",Table1[[#This Row],[Age]]&gt;=45,"Old")</f>
        <v>Old</v>
      </c>
    </row>
    <row r="681" spans="1:15" x14ac:dyDescent="0.25">
      <c r="A681" s="1">
        <v>13429</v>
      </c>
      <c r="B681" s="1" t="s">
        <v>156</v>
      </c>
      <c r="C681" s="1" t="s">
        <v>530</v>
      </c>
      <c r="D681" s="1">
        <v>49</v>
      </c>
      <c r="E681" s="1">
        <v>21</v>
      </c>
      <c r="F681" s="1" t="s">
        <v>953</v>
      </c>
      <c r="G681" s="1" t="s">
        <v>45</v>
      </c>
      <c r="H681" s="1" t="s">
        <v>24</v>
      </c>
      <c r="I681" s="1" t="s">
        <v>18</v>
      </c>
      <c r="J681" s="1">
        <v>40</v>
      </c>
      <c r="K681" s="1" t="s">
        <v>37</v>
      </c>
      <c r="L681" s="3">
        <v>92574</v>
      </c>
      <c r="M681" s="3">
        <v>92574</v>
      </c>
      <c r="N681" s="1" t="s">
        <v>29</v>
      </c>
      <c r="O681" s="5" t="str" cm="1">
        <f t="array" ref="O681">_xlfn.IFS(Table1[[#This Row],[Age]]&lt;25,"Young",Table1[[#This Row],[Age]]&lt;45,"Adult",Table1[[#This Row],[Age]]&gt;=45,"Old")</f>
        <v>Old</v>
      </c>
    </row>
    <row r="682" spans="1:15" x14ac:dyDescent="0.25">
      <c r="A682" s="1">
        <v>11701</v>
      </c>
      <c r="B682" s="1" t="s">
        <v>204</v>
      </c>
      <c r="C682" s="1" t="s">
        <v>606</v>
      </c>
      <c r="D682" s="1">
        <v>24</v>
      </c>
      <c r="E682" s="1">
        <v>6</v>
      </c>
      <c r="F682" s="1" t="s">
        <v>953</v>
      </c>
      <c r="G682" s="1" t="s">
        <v>35</v>
      </c>
      <c r="H682" s="1" t="s">
        <v>36</v>
      </c>
      <c r="I682" s="1" t="s">
        <v>18</v>
      </c>
      <c r="J682" s="1">
        <v>32</v>
      </c>
      <c r="K682" s="1" t="s">
        <v>25</v>
      </c>
      <c r="L682" s="3">
        <v>105840</v>
      </c>
      <c r="M682" s="3">
        <v>84672</v>
      </c>
      <c r="N682" s="1" t="s">
        <v>20</v>
      </c>
      <c r="O682" s="5" t="str" cm="1">
        <f t="array" ref="O682">_xlfn.IFS(Table1[[#This Row],[Age]]&lt;25,"Young",Table1[[#This Row],[Age]]&lt;45,"Adult",Table1[[#This Row],[Age]]&gt;=45,"Old")</f>
        <v>Young</v>
      </c>
    </row>
    <row r="683" spans="1:15" x14ac:dyDescent="0.25">
      <c r="A683" s="1">
        <v>22604</v>
      </c>
      <c r="B683" s="1" t="s">
        <v>837</v>
      </c>
      <c r="C683" s="1" t="s">
        <v>838</v>
      </c>
      <c r="D683" s="1">
        <v>48</v>
      </c>
      <c r="E683" s="1">
        <v>14</v>
      </c>
      <c r="F683" s="1" t="s">
        <v>953</v>
      </c>
      <c r="G683" s="1" t="s">
        <v>23</v>
      </c>
      <c r="H683" s="1" t="s">
        <v>192</v>
      </c>
      <c r="I683" s="1" t="s">
        <v>51</v>
      </c>
      <c r="J683" s="1">
        <v>20</v>
      </c>
      <c r="K683" s="1" t="s">
        <v>37</v>
      </c>
      <c r="L683" s="3">
        <v>91800</v>
      </c>
      <c r="M683" s="3">
        <v>45900</v>
      </c>
      <c r="N683" s="1" t="s">
        <v>20</v>
      </c>
      <c r="O683" s="5" t="str" cm="1">
        <f t="array" ref="O683">_xlfn.IFS(Table1[[#This Row],[Age]]&lt;25,"Young",Table1[[#This Row],[Age]]&lt;45,"Adult",Table1[[#This Row],[Age]]&gt;=45,"Old")</f>
        <v>Old</v>
      </c>
    </row>
    <row r="684" spans="1:15" x14ac:dyDescent="0.25">
      <c r="A684" s="1">
        <v>13935</v>
      </c>
      <c r="B684" s="1" t="s">
        <v>839</v>
      </c>
      <c r="C684" s="1" t="s">
        <v>733</v>
      </c>
      <c r="D684" s="1">
        <v>46</v>
      </c>
      <c r="E684" s="1">
        <v>16</v>
      </c>
      <c r="F684" s="1" t="s">
        <v>953</v>
      </c>
      <c r="G684" s="1" t="s">
        <v>23</v>
      </c>
      <c r="H684" s="1" t="s">
        <v>32</v>
      </c>
      <c r="I684" s="1" t="s">
        <v>18</v>
      </c>
      <c r="J684" s="1">
        <v>40</v>
      </c>
      <c r="K684" s="1" t="s">
        <v>37</v>
      </c>
      <c r="L684" s="3">
        <v>107000</v>
      </c>
      <c r="M684" s="3">
        <v>107000</v>
      </c>
      <c r="N684" s="1" t="s">
        <v>29</v>
      </c>
      <c r="O684" s="5" t="str" cm="1">
        <f t="array" ref="O684">_xlfn.IFS(Table1[[#This Row],[Age]]&lt;25,"Young",Table1[[#This Row],[Age]]&lt;45,"Adult",Table1[[#This Row],[Age]]&gt;=45,"Old")</f>
        <v>Old</v>
      </c>
    </row>
    <row r="685" spans="1:15" x14ac:dyDescent="0.25">
      <c r="A685" s="1">
        <v>6095</v>
      </c>
      <c r="B685" s="1" t="s">
        <v>547</v>
      </c>
      <c r="C685" s="1" t="s">
        <v>311</v>
      </c>
      <c r="D685" s="1">
        <v>37</v>
      </c>
      <c r="E685" s="1">
        <v>6</v>
      </c>
      <c r="F685" s="1" t="s">
        <v>954</v>
      </c>
      <c r="G685" s="1" t="s">
        <v>45</v>
      </c>
      <c r="H685" s="1" t="s">
        <v>36</v>
      </c>
      <c r="I685" s="1" t="s">
        <v>18</v>
      </c>
      <c r="J685" s="1">
        <v>40</v>
      </c>
      <c r="K685" s="1" t="s">
        <v>37</v>
      </c>
      <c r="L685" s="3">
        <v>94079</v>
      </c>
      <c r="M685" s="3">
        <v>94079</v>
      </c>
      <c r="N685" s="1" t="s">
        <v>26</v>
      </c>
      <c r="O685" s="5" t="str" cm="1">
        <f t="array" ref="O685">_xlfn.IFS(Table1[[#This Row],[Age]]&lt;25,"Young",Table1[[#This Row],[Age]]&lt;45,"Adult",Table1[[#This Row],[Age]]&gt;=45,"Old")</f>
        <v>Adult</v>
      </c>
    </row>
    <row r="686" spans="1:15" x14ac:dyDescent="0.25">
      <c r="A686" s="1">
        <v>16002</v>
      </c>
      <c r="B686" s="1" t="s">
        <v>162</v>
      </c>
      <c r="C686" s="1" t="s">
        <v>832</v>
      </c>
      <c r="D686" s="1">
        <v>46</v>
      </c>
      <c r="E686" s="1">
        <v>2</v>
      </c>
      <c r="F686" s="1" t="s">
        <v>953</v>
      </c>
      <c r="G686" s="1" t="s">
        <v>50</v>
      </c>
      <c r="H686" s="1" t="s">
        <v>17</v>
      </c>
      <c r="I686" s="1" t="s">
        <v>51</v>
      </c>
      <c r="J686" s="1">
        <v>16</v>
      </c>
      <c r="K686" s="1" t="s">
        <v>19</v>
      </c>
      <c r="L686" s="3">
        <v>126404</v>
      </c>
      <c r="M686" s="3">
        <v>50561.599999999999</v>
      </c>
      <c r="N686" s="1" t="s">
        <v>29</v>
      </c>
      <c r="O686" s="5" t="str" cm="1">
        <f t="array" ref="O686">_xlfn.IFS(Table1[[#This Row],[Age]]&lt;25,"Young",Table1[[#This Row],[Age]]&lt;45,"Adult",Table1[[#This Row],[Age]]&gt;=45,"Old")</f>
        <v>Old</v>
      </c>
    </row>
    <row r="687" spans="1:15" x14ac:dyDescent="0.25">
      <c r="A687" s="1">
        <v>4869</v>
      </c>
      <c r="B687" s="1" t="s">
        <v>653</v>
      </c>
      <c r="C687" s="1" t="s">
        <v>15</v>
      </c>
      <c r="D687" s="1">
        <v>57</v>
      </c>
      <c r="E687" s="1">
        <v>29</v>
      </c>
      <c r="F687" s="1" t="s">
        <v>954</v>
      </c>
      <c r="G687" s="1" t="s">
        <v>16</v>
      </c>
      <c r="H687" s="1" t="s">
        <v>24</v>
      </c>
      <c r="I687" s="1" t="s">
        <v>51</v>
      </c>
      <c r="J687" s="1">
        <v>20</v>
      </c>
      <c r="K687" s="1" t="s">
        <v>37</v>
      </c>
      <c r="L687" s="3">
        <v>91934</v>
      </c>
      <c r="M687" s="3">
        <v>45967</v>
      </c>
      <c r="N687" s="1" t="s">
        <v>20</v>
      </c>
      <c r="O687" s="5" t="str" cm="1">
        <f t="array" ref="O687">_xlfn.IFS(Table1[[#This Row],[Age]]&lt;25,"Young",Table1[[#This Row],[Age]]&lt;45,"Adult",Table1[[#This Row],[Age]]&gt;=45,"Old")</f>
        <v>Old</v>
      </c>
    </row>
    <row r="688" spans="1:15" x14ac:dyDescent="0.25">
      <c r="A688" s="1">
        <v>21077</v>
      </c>
      <c r="B688" s="1" t="s">
        <v>801</v>
      </c>
      <c r="C688" s="1" t="s">
        <v>44</v>
      </c>
      <c r="D688" s="1">
        <v>31</v>
      </c>
      <c r="E688" s="1">
        <v>8</v>
      </c>
      <c r="F688" s="1" t="s">
        <v>954</v>
      </c>
      <c r="G688" s="1" t="s">
        <v>50</v>
      </c>
      <c r="H688" s="1" t="s">
        <v>36</v>
      </c>
      <c r="I688" s="1" t="s">
        <v>18</v>
      </c>
      <c r="J688" s="1">
        <v>24</v>
      </c>
      <c r="K688" s="1" t="s">
        <v>42</v>
      </c>
      <c r="L688" s="3">
        <v>68000</v>
      </c>
      <c r="M688" s="3">
        <v>40800</v>
      </c>
      <c r="N688" s="1" t="s">
        <v>20</v>
      </c>
      <c r="O688" s="5" t="str" cm="1">
        <f t="array" ref="O688">_xlfn.IFS(Table1[[#This Row],[Age]]&lt;25,"Young",Table1[[#This Row],[Age]]&lt;45,"Adult",Table1[[#This Row],[Age]]&gt;=45,"Old")</f>
        <v>Adult</v>
      </c>
    </row>
    <row r="689" spans="1:15" x14ac:dyDescent="0.25">
      <c r="A689" s="1">
        <v>1570</v>
      </c>
      <c r="B689" s="1" t="s">
        <v>641</v>
      </c>
      <c r="C689" s="1" t="s">
        <v>840</v>
      </c>
      <c r="D689" s="1">
        <v>25</v>
      </c>
      <c r="E689" s="1">
        <v>1</v>
      </c>
      <c r="F689" s="1" t="s">
        <v>953</v>
      </c>
      <c r="G689" s="1" t="s">
        <v>35</v>
      </c>
      <c r="H689" s="1" t="s">
        <v>36</v>
      </c>
      <c r="I689" s="1" t="s">
        <v>18</v>
      </c>
      <c r="J689" s="1">
        <v>40</v>
      </c>
      <c r="K689" s="1" t="s">
        <v>37</v>
      </c>
      <c r="L689" s="3">
        <v>107000</v>
      </c>
      <c r="M689" s="3">
        <v>107000</v>
      </c>
      <c r="N689" s="1" t="s">
        <v>26</v>
      </c>
      <c r="O689" s="5" t="str" cm="1">
        <f t="array" ref="O689">_xlfn.IFS(Table1[[#This Row],[Age]]&lt;25,"Young",Table1[[#This Row],[Age]]&lt;45,"Adult",Table1[[#This Row],[Age]]&gt;=45,"Old")</f>
        <v>Adult</v>
      </c>
    </row>
    <row r="690" spans="1:15" x14ac:dyDescent="0.25">
      <c r="A690" s="1">
        <v>13598</v>
      </c>
      <c r="B690" s="1" t="s">
        <v>841</v>
      </c>
      <c r="C690" s="1" t="s">
        <v>842</v>
      </c>
      <c r="D690" s="1">
        <v>46</v>
      </c>
      <c r="E690" s="1">
        <v>19</v>
      </c>
      <c r="F690" s="1" t="s">
        <v>954</v>
      </c>
      <c r="G690" s="1" t="s">
        <v>50</v>
      </c>
      <c r="H690" s="1" t="s">
        <v>119</v>
      </c>
      <c r="I690" s="1" t="s">
        <v>51</v>
      </c>
      <c r="J690" s="1">
        <v>24</v>
      </c>
      <c r="K690" s="1" t="s">
        <v>19</v>
      </c>
      <c r="L690" s="3">
        <v>115000</v>
      </c>
      <c r="M690" s="3">
        <v>69000</v>
      </c>
      <c r="N690" s="1" t="s">
        <v>20</v>
      </c>
      <c r="O690" s="5" t="str" cm="1">
        <f t="array" ref="O690">_xlfn.IFS(Table1[[#This Row],[Age]]&lt;25,"Young",Table1[[#This Row],[Age]]&lt;45,"Adult",Table1[[#This Row],[Age]]&gt;=45,"Old")</f>
        <v>Old</v>
      </c>
    </row>
    <row r="691" spans="1:15" x14ac:dyDescent="0.25">
      <c r="A691" s="1">
        <v>20082</v>
      </c>
      <c r="B691" s="1" t="s">
        <v>843</v>
      </c>
      <c r="C691" s="1" t="s">
        <v>246</v>
      </c>
      <c r="D691" s="1">
        <v>33</v>
      </c>
      <c r="E691" s="1">
        <v>5</v>
      </c>
      <c r="F691" s="1" t="s">
        <v>954</v>
      </c>
      <c r="G691" s="1" t="s">
        <v>45</v>
      </c>
      <c r="H691" s="1" t="s">
        <v>24</v>
      </c>
      <c r="I691" s="1" t="s">
        <v>18</v>
      </c>
      <c r="J691" s="1">
        <v>24</v>
      </c>
      <c r="K691" s="1" t="s">
        <v>25</v>
      </c>
      <c r="L691" s="3">
        <v>98000</v>
      </c>
      <c r="M691" s="3">
        <v>58800</v>
      </c>
      <c r="N691" s="1" t="s">
        <v>29</v>
      </c>
      <c r="O691" s="5" t="str" cm="1">
        <f t="array" ref="O691">_xlfn.IFS(Table1[[#This Row],[Age]]&lt;25,"Young",Table1[[#This Row],[Age]]&lt;45,"Adult",Table1[[#This Row],[Age]]&gt;=45,"Old")</f>
        <v>Adult</v>
      </c>
    </row>
    <row r="692" spans="1:15" x14ac:dyDescent="0.25">
      <c r="A692" s="1">
        <v>19180</v>
      </c>
      <c r="B692" s="1" t="s">
        <v>369</v>
      </c>
      <c r="C692" s="1" t="s">
        <v>844</v>
      </c>
      <c r="D692" s="1">
        <v>29</v>
      </c>
      <c r="E692" s="1">
        <v>11</v>
      </c>
      <c r="F692" s="1" t="s">
        <v>953</v>
      </c>
      <c r="G692" s="1" t="s">
        <v>23</v>
      </c>
      <c r="H692" s="1" t="s">
        <v>32</v>
      </c>
      <c r="I692" s="1" t="s">
        <v>18</v>
      </c>
      <c r="J692" s="1">
        <v>32</v>
      </c>
      <c r="K692" s="1" t="s">
        <v>37</v>
      </c>
      <c r="L692" s="3">
        <v>95550</v>
      </c>
      <c r="M692" s="3">
        <v>76440</v>
      </c>
      <c r="N692" s="1" t="s">
        <v>29</v>
      </c>
      <c r="O692" s="5" t="str" cm="1">
        <f t="array" ref="O692">_xlfn.IFS(Table1[[#This Row],[Age]]&lt;25,"Young",Table1[[#This Row],[Age]]&lt;45,"Adult",Table1[[#This Row],[Age]]&gt;=45,"Old")</f>
        <v>Adult</v>
      </c>
    </row>
    <row r="693" spans="1:15" x14ac:dyDescent="0.25">
      <c r="A693" s="1">
        <v>22412</v>
      </c>
      <c r="B693" s="1" t="s">
        <v>112</v>
      </c>
      <c r="C693" s="1" t="s">
        <v>246</v>
      </c>
      <c r="D693" s="1">
        <v>28</v>
      </c>
      <c r="E693" s="1">
        <v>0</v>
      </c>
      <c r="F693" s="1" t="s">
        <v>953</v>
      </c>
      <c r="G693" s="1" t="s">
        <v>50</v>
      </c>
      <c r="H693" s="1" t="s">
        <v>32</v>
      </c>
      <c r="I693" s="1" t="s">
        <v>18</v>
      </c>
      <c r="J693" s="1">
        <v>40</v>
      </c>
      <c r="K693" s="1" t="s">
        <v>37</v>
      </c>
      <c r="L693" s="3">
        <v>107000</v>
      </c>
      <c r="M693" s="3">
        <v>107000</v>
      </c>
      <c r="N693" s="1" t="s">
        <v>26</v>
      </c>
      <c r="O693" s="5" t="str" cm="1">
        <f t="array" ref="O693">_xlfn.IFS(Table1[[#This Row],[Age]]&lt;25,"Young",Table1[[#This Row],[Age]]&lt;45,"Adult",Table1[[#This Row],[Age]]&gt;=45,"Old")</f>
        <v>Adult</v>
      </c>
    </row>
    <row r="694" spans="1:15" x14ac:dyDescent="0.25">
      <c r="A694" s="1">
        <v>1575</v>
      </c>
      <c r="B694" s="1" t="s">
        <v>91</v>
      </c>
      <c r="C694" s="1" t="s">
        <v>501</v>
      </c>
      <c r="D694" s="1">
        <v>37</v>
      </c>
      <c r="E694" s="1">
        <v>6</v>
      </c>
      <c r="F694" s="1" t="s">
        <v>954</v>
      </c>
      <c r="G694" s="1" t="s">
        <v>50</v>
      </c>
      <c r="H694" s="1" t="s">
        <v>36</v>
      </c>
      <c r="I694" s="1" t="s">
        <v>18</v>
      </c>
      <c r="J694" s="1">
        <v>20</v>
      </c>
      <c r="K694" s="1" t="s">
        <v>19</v>
      </c>
      <c r="L694" s="3">
        <v>115000</v>
      </c>
      <c r="M694" s="3">
        <v>57500</v>
      </c>
      <c r="N694" s="1" t="s">
        <v>20</v>
      </c>
      <c r="O694" s="5" t="str" cm="1">
        <f t="array" ref="O694">_xlfn.IFS(Table1[[#This Row],[Age]]&lt;25,"Young",Table1[[#This Row],[Age]]&lt;45,"Adult",Table1[[#This Row],[Age]]&gt;=45,"Old")</f>
        <v>Adult</v>
      </c>
    </row>
    <row r="695" spans="1:15" x14ac:dyDescent="0.25">
      <c r="A695" s="1">
        <v>3437</v>
      </c>
      <c r="B695" s="1" t="s">
        <v>461</v>
      </c>
      <c r="C695" s="1" t="s">
        <v>845</v>
      </c>
      <c r="D695" s="1">
        <v>44</v>
      </c>
      <c r="E695" s="1">
        <v>25</v>
      </c>
      <c r="F695" s="1" t="s">
        <v>954</v>
      </c>
      <c r="G695" s="1" t="s">
        <v>45</v>
      </c>
      <c r="H695" s="1" t="s">
        <v>24</v>
      </c>
      <c r="I695" s="1" t="s">
        <v>18</v>
      </c>
      <c r="J695" s="1">
        <v>20</v>
      </c>
      <c r="K695" s="1" t="s">
        <v>37</v>
      </c>
      <c r="L695" s="3">
        <v>85000</v>
      </c>
      <c r="M695" s="3">
        <v>53125</v>
      </c>
      <c r="N695" s="1" t="s">
        <v>20</v>
      </c>
      <c r="O695" s="5" t="str" cm="1">
        <f t="array" ref="O695">_xlfn.IFS(Table1[[#This Row],[Age]]&lt;25,"Young",Table1[[#This Row],[Age]]&lt;45,"Adult",Table1[[#This Row],[Age]]&gt;=45,"Old")</f>
        <v>Adult</v>
      </c>
    </row>
    <row r="696" spans="1:15" x14ac:dyDescent="0.25">
      <c r="A696" s="1">
        <v>16261</v>
      </c>
      <c r="B696" s="1" t="s">
        <v>147</v>
      </c>
      <c r="C696" s="1" t="s">
        <v>200</v>
      </c>
      <c r="D696" s="1">
        <v>43</v>
      </c>
      <c r="E696" s="1">
        <v>2</v>
      </c>
      <c r="F696" s="1" t="s">
        <v>954</v>
      </c>
      <c r="G696" s="1" t="s">
        <v>35</v>
      </c>
      <c r="H696" s="1" t="s">
        <v>17</v>
      </c>
      <c r="I696" s="1" t="s">
        <v>18</v>
      </c>
      <c r="J696" s="1">
        <v>20</v>
      </c>
      <c r="K696" s="1" t="s">
        <v>37</v>
      </c>
      <c r="L696" s="3">
        <v>92582</v>
      </c>
      <c r="M696" s="3">
        <v>46291</v>
      </c>
      <c r="N696" s="1" t="s">
        <v>29</v>
      </c>
      <c r="O696" s="5" t="str" cm="1">
        <f t="array" ref="O696">_xlfn.IFS(Table1[[#This Row],[Age]]&lt;25,"Young",Table1[[#This Row],[Age]]&lt;45,"Adult",Table1[[#This Row],[Age]]&gt;=45,"Old")</f>
        <v>Adult</v>
      </c>
    </row>
    <row r="697" spans="1:15" x14ac:dyDescent="0.25">
      <c r="A697" s="1">
        <v>1499</v>
      </c>
      <c r="B697" s="1" t="s">
        <v>645</v>
      </c>
      <c r="C697" s="1" t="s">
        <v>646</v>
      </c>
      <c r="D697" s="1">
        <v>26</v>
      </c>
      <c r="E697" s="1">
        <v>5</v>
      </c>
      <c r="F697" s="1" t="s">
        <v>953</v>
      </c>
      <c r="G697" s="1" t="s">
        <v>45</v>
      </c>
      <c r="H697" s="1" t="s">
        <v>17</v>
      </c>
      <c r="I697" s="1" t="s">
        <v>18</v>
      </c>
      <c r="J697" s="1">
        <v>20</v>
      </c>
      <c r="K697" s="1" t="s">
        <v>25</v>
      </c>
      <c r="L697" s="3">
        <v>120802</v>
      </c>
      <c r="M697" s="3">
        <v>60401</v>
      </c>
      <c r="N697" s="1" t="s">
        <v>26</v>
      </c>
      <c r="O697" s="5" t="str" cm="1">
        <f t="array" ref="O697">_xlfn.IFS(Table1[[#This Row],[Age]]&lt;25,"Young",Table1[[#This Row],[Age]]&lt;45,"Adult",Table1[[#This Row],[Age]]&gt;=45,"Old")</f>
        <v>Adult</v>
      </c>
    </row>
    <row r="698" spans="1:15" x14ac:dyDescent="0.25">
      <c r="A698" s="1">
        <v>21748</v>
      </c>
      <c r="B698" s="1" t="s">
        <v>308</v>
      </c>
      <c r="C698" s="1" t="s">
        <v>846</v>
      </c>
      <c r="D698" s="1">
        <v>59</v>
      </c>
      <c r="E698" s="1">
        <v>6</v>
      </c>
      <c r="F698" s="1" t="s">
        <v>953</v>
      </c>
      <c r="G698" s="1" t="s">
        <v>23</v>
      </c>
      <c r="H698" s="1" t="s">
        <v>32</v>
      </c>
      <c r="I698" s="1" t="s">
        <v>18</v>
      </c>
      <c r="J698" s="1">
        <v>40</v>
      </c>
      <c r="K698" s="1" t="s">
        <v>37</v>
      </c>
      <c r="L698" s="3">
        <v>102126</v>
      </c>
      <c r="M698" s="3">
        <v>102126</v>
      </c>
      <c r="N698" s="1" t="s">
        <v>26</v>
      </c>
      <c r="O698" s="5" t="str" cm="1">
        <f t="array" ref="O698">_xlfn.IFS(Table1[[#This Row],[Age]]&lt;25,"Young",Table1[[#This Row],[Age]]&lt;45,"Adult",Table1[[#This Row],[Age]]&gt;=45,"Old")</f>
        <v>Old</v>
      </c>
    </row>
    <row r="699" spans="1:15" x14ac:dyDescent="0.25">
      <c r="A699" s="1">
        <v>14731</v>
      </c>
      <c r="B699" s="1" t="s">
        <v>588</v>
      </c>
      <c r="C699" s="1" t="s">
        <v>419</v>
      </c>
      <c r="D699" s="1">
        <v>33</v>
      </c>
      <c r="E699" s="1">
        <v>9</v>
      </c>
      <c r="F699" s="1" t="s">
        <v>954</v>
      </c>
      <c r="G699" s="1" t="s">
        <v>45</v>
      </c>
      <c r="H699" s="1" t="s">
        <v>24</v>
      </c>
      <c r="I699" s="1" t="s">
        <v>18</v>
      </c>
      <c r="J699" s="1">
        <v>40</v>
      </c>
      <c r="K699" s="1" t="s">
        <v>37</v>
      </c>
      <c r="L699" s="3">
        <v>91678</v>
      </c>
      <c r="M699" s="3">
        <v>91678</v>
      </c>
      <c r="N699" s="1" t="s">
        <v>26</v>
      </c>
      <c r="O699" s="5" t="str" cm="1">
        <f t="array" ref="O699">_xlfn.IFS(Table1[[#This Row],[Age]]&lt;25,"Young",Table1[[#This Row],[Age]]&lt;45,"Adult",Table1[[#This Row],[Age]]&gt;=45,"Old")</f>
        <v>Adult</v>
      </c>
    </row>
    <row r="700" spans="1:15" x14ac:dyDescent="0.25">
      <c r="A700" s="1">
        <v>5133</v>
      </c>
      <c r="B700" s="1" t="s">
        <v>377</v>
      </c>
      <c r="C700" s="1" t="s">
        <v>87</v>
      </c>
      <c r="D700" s="1">
        <v>58</v>
      </c>
      <c r="E700" s="1">
        <v>12</v>
      </c>
      <c r="F700" s="1" t="s">
        <v>953</v>
      </c>
      <c r="G700" s="1" t="s">
        <v>45</v>
      </c>
      <c r="H700" s="1" t="s">
        <v>32</v>
      </c>
      <c r="I700" s="1" t="s">
        <v>51</v>
      </c>
      <c r="J700" s="1">
        <v>20</v>
      </c>
      <c r="K700" s="1" t="s">
        <v>42</v>
      </c>
      <c r="L700" s="3">
        <v>75011</v>
      </c>
      <c r="M700" s="3">
        <v>37505.5</v>
      </c>
      <c r="N700" s="1" t="s">
        <v>29</v>
      </c>
      <c r="O700" s="5" t="str" cm="1">
        <f t="array" ref="O700">_xlfn.IFS(Table1[[#This Row],[Age]]&lt;25,"Young",Table1[[#This Row],[Age]]&lt;45,"Adult",Table1[[#This Row],[Age]]&gt;=45,"Old")</f>
        <v>Old</v>
      </c>
    </row>
    <row r="701" spans="1:15" x14ac:dyDescent="0.25">
      <c r="A701" s="1">
        <v>15815</v>
      </c>
      <c r="B701" s="1" t="s">
        <v>278</v>
      </c>
      <c r="C701" s="1" t="s">
        <v>847</v>
      </c>
      <c r="D701" s="1">
        <v>39</v>
      </c>
      <c r="E701" s="1">
        <v>16</v>
      </c>
      <c r="F701" s="1" t="s">
        <v>954</v>
      </c>
      <c r="G701" s="1" t="s">
        <v>50</v>
      </c>
      <c r="H701" s="1" t="s">
        <v>24</v>
      </c>
      <c r="I701" s="1" t="s">
        <v>18</v>
      </c>
      <c r="J701" s="1">
        <v>20</v>
      </c>
      <c r="K701" s="1" t="s">
        <v>52</v>
      </c>
      <c r="L701" s="3">
        <v>130000</v>
      </c>
      <c r="M701" s="3">
        <v>65000</v>
      </c>
      <c r="N701" s="1" t="s">
        <v>20</v>
      </c>
      <c r="O701" s="5" t="str" cm="1">
        <f t="array" ref="O701">_xlfn.IFS(Table1[[#This Row],[Age]]&lt;25,"Young",Table1[[#This Row],[Age]]&lt;45,"Adult",Table1[[#This Row],[Age]]&gt;=45,"Old")</f>
        <v>Adult</v>
      </c>
    </row>
    <row r="702" spans="1:15" x14ac:dyDescent="0.25">
      <c r="A702" s="1">
        <v>6641</v>
      </c>
      <c r="B702" s="1" t="s">
        <v>69</v>
      </c>
      <c r="C702" s="1" t="s">
        <v>821</v>
      </c>
      <c r="D702" s="1">
        <v>59</v>
      </c>
      <c r="E702" s="1">
        <v>14</v>
      </c>
      <c r="F702" s="1" t="s">
        <v>954</v>
      </c>
      <c r="G702" s="1" t="s">
        <v>35</v>
      </c>
      <c r="H702" s="1" t="s">
        <v>32</v>
      </c>
      <c r="I702" s="1" t="s">
        <v>18</v>
      </c>
      <c r="J702" s="1">
        <v>32</v>
      </c>
      <c r="K702" s="1" t="s">
        <v>42</v>
      </c>
      <c r="L702" s="3">
        <v>73356</v>
      </c>
      <c r="M702" s="3">
        <v>58684.800000000003</v>
      </c>
      <c r="N702" s="1" t="s">
        <v>20</v>
      </c>
      <c r="O702" s="5" t="str" cm="1">
        <f t="array" ref="O702">_xlfn.IFS(Table1[[#This Row],[Age]]&lt;25,"Young",Table1[[#This Row],[Age]]&lt;45,"Adult",Table1[[#This Row],[Age]]&gt;=45,"Old")</f>
        <v>Old</v>
      </c>
    </row>
    <row r="703" spans="1:15" x14ac:dyDescent="0.25">
      <c r="A703" s="1">
        <v>2334</v>
      </c>
      <c r="B703" s="1" t="s">
        <v>402</v>
      </c>
      <c r="C703" s="1" t="s">
        <v>374</v>
      </c>
      <c r="D703" s="1">
        <v>49</v>
      </c>
      <c r="E703" s="1">
        <v>8</v>
      </c>
      <c r="F703" s="1" t="s">
        <v>953</v>
      </c>
      <c r="G703" s="1" t="s">
        <v>23</v>
      </c>
      <c r="H703" s="1" t="s">
        <v>32</v>
      </c>
      <c r="I703" s="1" t="s">
        <v>18</v>
      </c>
      <c r="J703" s="1">
        <v>32</v>
      </c>
      <c r="K703" s="1" t="s">
        <v>42</v>
      </c>
      <c r="L703" s="3">
        <v>73440</v>
      </c>
      <c r="M703" s="3">
        <v>58752</v>
      </c>
      <c r="N703" s="1" t="s">
        <v>20</v>
      </c>
      <c r="O703" s="5" t="str" cm="1">
        <f t="array" ref="O703">_xlfn.IFS(Table1[[#This Row],[Age]]&lt;25,"Young",Table1[[#This Row],[Age]]&lt;45,"Adult",Table1[[#This Row],[Age]]&gt;=45,"Old")</f>
        <v>Old</v>
      </c>
    </row>
    <row r="704" spans="1:15" x14ac:dyDescent="0.25">
      <c r="A704" s="1">
        <v>9211</v>
      </c>
      <c r="B704" s="1" t="s">
        <v>182</v>
      </c>
      <c r="C704" s="1" t="s">
        <v>272</v>
      </c>
      <c r="D704" s="1">
        <v>65</v>
      </c>
      <c r="E704" s="1">
        <v>37</v>
      </c>
      <c r="F704" s="1" t="s">
        <v>953</v>
      </c>
      <c r="G704" s="1" t="s">
        <v>23</v>
      </c>
      <c r="H704" s="1" t="s">
        <v>24</v>
      </c>
      <c r="I704" s="1" t="s">
        <v>51</v>
      </c>
      <c r="J704" s="1">
        <v>32</v>
      </c>
      <c r="K704" s="1" t="s">
        <v>19</v>
      </c>
      <c r="L704" s="3">
        <v>124200</v>
      </c>
      <c r="M704" s="3">
        <v>99360</v>
      </c>
      <c r="N704" s="1" t="s">
        <v>20</v>
      </c>
      <c r="O704" s="5" t="str" cm="1">
        <f t="array" ref="O704">_xlfn.IFS(Table1[[#This Row],[Age]]&lt;25,"Young",Table1[[#This Row],[Age]]&lt;45,"Adult",Table1[[#This Row],[Age]]&gt;=45,"Old")</f>
        <v>Old</v>
      </c>
    </row>
    <row r="705" spans="1:15" x14ac:dyDescent="0.25">
      <c r="A705" s="1">
        <v>13109</v>
      </c>
      <c r="B705" s="1" t="s">
        <v>841</v>
      </c>
      <c r="C705" s="1" t="s">
        <v>848</v>
      </c>
      <c r="D705" s="1">
        <v>25</v>
      </c>
      <c r="E705" s="1">
        <v>2</v>
      </c>
      <c r="F705" s="1" t="s">
        <v>954</v>
      </c>
      <c r="G705" s="1" t="s">
        <v>16</v>
      </c>
      <c r="H705" s="1" t="s">
        <v>36</v>
      </c>
      <c r="I705" s="1" t="s">
        <v>18</v>
      </c>
      <c r="J705" s="1">
        <v>40</v>
      </c>
      <c r="K705" s="1" t="s">
        <v>19</v>
      </c>
      <c r="L705" s="3">
        <v>124270</v>
      </c>
      <c r="M705" s="3">
        <v>124270</v>
      </c>
      <c r="N705" s="1" t="s">
        <v>29</v>
      </c>
      <c r="O705" s="5" t="str" cm="1">
        <f t="array" ref="O705">_xlfn.IFS(Table1[[#This Row],[Age]]&lt;25,"Young",Table1[[#This Row],[Age]]&lt;45,"Adult",Table1[[#This Row],[Age]]&gt;=45,"Old")</f>
        <v>Adult</v>
      </c>
    </row>
    <row r="706" spans="1:15" x14ac:dyDescent="0.25">
      <c r="A706" s="1">
        <v>11413</v>
      </c>
      <c r="B706" s="1" t="s">
        <v>301</v>
      </c>
      <c r="C706" s="1" t="s">
        <v>549</v>
      </c>
      <c r="D706" s="1">
        <v>48</v>
      </c>
      <c r="E706" s="1">
        <v>11</v>
      </c>
      <c r="F706" s="1" t="s">
        <v>954</v>
      </c>
      <c r="G706" s="1" t="s">
        <v>45</v>
      </c>
      <c r="H706" s="1" t="s">
        <v>36</v>
      </c>
      <c r="I706" s="1" t="s">
        <v>18</v>
      </c>
      <c r="J706" s="1">
        <v>40</v>
      </c>
      <c r="K706" s="1" t="s">
        <v>25</v>
      </c>
      <c r="L706" s="3">
        <v>98000</v>
      </c>
      <c r="M706" s="3">
        <v>98000</v>
      </c>
      <c r="N706" s="1" t="s">
        <v>26</v>
      </c>
      <c r="O706" s="5" t="str" cm="1">
        <f t="array" ref="O706">_xlfn.IFS(Table1[[#This Row],[Age]]&lt;25,"Young",Table1[[#This Row],[Age]]&lt;45,"Adult",Table1[[#This Row],[Age]]&gt;=45,"Old")</f>
        <v>Old</v>
      </c>
    </row>
    <row r="707" spans="1:15" x14ac:dyDescent="0.25">
      <c r="A707" s="1">
        <v>7622</v>
      </c>
      <c r="B707" s="1" t="s">
        <v>487</v>
      </c>
      <c r="C707" s="1" t="s">
        <v>849</v>
      </c>
      <c r="D707" s="1">
        <v>40</v>
      </c>
      <c r="E707" s="1">
        <v>5</v>
      </c>
      <c r="F707" s="1" t="s">
        <v>953</v>
      </c>
      <c r="G707" s="1" t="s">
        <v>35</v>
      </c>
      <c r="H707" s="1" t="s">
        <v>32</v>
      </c>
      <c r="I707" s="1" t="s">
        <v>18</v>
      </c>
      <c r="J707" s="1">
        <v>20</v>
      </c>
      <c r="K707" s="1" t="s">
        <v>42</v>
      </c>
      <c r="L707" s="3">
        <v>80502</v>
      </c>
      <c r="M707" s="3">
        <v>40251</v>
      </c>
      <c r="N707" s="1" t="s">
        <v>26</v>
      </c>
      <c r="O707" s="5" t="str" cm="1">
        <f t="array" ref="O707">_xlfn.IFS(Table1[[#This Row],[Age]]&lt;25,"Young",Table1[[#This Row],[Age]]&lt;45,"Adult",Table1[[#This Row],[Age]]&gt;=45,"Old")</f>
        <v>Adult</v>
      </c>
    </row>
    <row r="708" spans="1:15" x14ac:dyDescent="0.25">
      <c r="A708" s="1">
        <v>15586</v>
      </c>
      <c r="B708" s="1" t="s">
        <v>511</v>
      </c>
      <c r="C708" s="1" t="s">
        <v>850</v>
      </c>
      <c r="D708" s="1">
        <v>44</v>
      </c>
      <c r="E708" s="1">
        <v>9</v>
      </c>
      <c r="F708" s="1" t="s">
        <v>953</v>
      </c>
      <c r="G708" s="1" t="s">
        <v>23</v>
      </c>
      <c r="H708" s="1" t="s">
        <v>32</v>
      </c>
      <c r="I708" s="1" t="s">
        <v>18</v>
      </c>
      <c r="J708" s="1">
        <v>40</v>
      </c>
      <c r="K708" s="1" t="s">
        <v>25</v>
      </c>
      <c r="L708" s="3">
        <v>108283</v>
      </c>
      <c r="M708" s="3">
        <v>108283</v>
      </c>
      <c r="N708" s="1" t="s">
        <v>29</v>
      </c>
      <c r="O708" s="5" t="str" cm="1">
        <f t="array" ref="O708">_xlfn.IFS(Table1[[#This Row],[Age]]&lt;25,"Young",Table1[[#This Row],[Age]]&lt;45,"Adult",Table1[[#This Row],[Age]]&gt;=45,"Old")</f>
        <v>Adult</v>
      </c>
    </row>
    <row r="709" spans="1:15" x14ac:dyDescent="0.25">
      <c r="A709" s="1">
        <v>11397</v>
      </c>
      <c r="B709" s="1" t="s">
        <v>345</v>
      </c>
      <c r="C709" s="1" t="s">
        <v>832</v>
      </c>
      <c r="D709" s="1">
        <v>49</v>
      </c>
      <c r="E709" s="1">
        <v>15</v>
      </c>
      <c r="F709" s="1" t="s">
        <v>953</v>
      </c>
      <c r="G709" s="1" t="s">
        <v>23</v>
      </c>
      <c r="H709" s="1" t="s">
        <v>24</v>
      </c>
      <c r="I709" s="1" t="s">
        <v>18</v>
      </c>
      <c r="J709" s="1">
        <v>40</v>
      </c>
      <c r="K709" s="1" t="s">
        <v>37</v>
      </c>
      <c r="L709" s="3">
        <v>105403</v>
      </c>
      <c r="M709" s="3">
        <v>105403</v>
      </c>
      <c r="N709" s="1" t="s">
        <v>26</v>
      </c>
      <c r="O709" s="5" t="str" cm="1">
        <f t="array" ref="O709">_xlfn.IFS(Table1[[#This Row],[Age]]&lt;25,"Young",Table1[[#This Row],[Age]]&lt;45,"Adult",Table1[[#This Row],[Age]]&gt;=45,"Old")</f>
        <v>Old</v>
      </c>
    </row>
    <row r="710" spans="1:15" x14ac:dyDescent="0.25">
      <c r="A710" s="1">
        <v>11746</v>
      </c>
      <c r="B710" s="1" t="s">
        <v>547</v>
      </c>
      <c r="C710" s="1" t="s">
        <v>851</v>
      </c>
      <c r="D710" s="1">
        <v>43</v>
      </c>
      <c r="E710" s="1">
        <v>17</v>
      </c>
      <c r="F710" s="1" t="s">
        <v>954</v>
      </c>
      <c r="G710" s="1" t="s">
        <v>23</v>
      </c>
      <c r="H710" s="1" t="s">
        <v>36</v>
      </c>
      <c r="I710" s="1" t="s">
        <v>18</v>
      </c>
      <c r="J710" s="1">
        <v>40</v>
      </c>
      <c r="K710" s="1" t="s">
        <v>37</v>
      </c>
      <c r="L710" s="3">
        <v>89078</v>
      </c>
      <c r="M710" s="3">
        <v>89078</v>
      </c>
      <c r="N710" s="1" t="s">
        <v>29</v>
      </c>
      <c r="O710" s="5" t="str" cm="1">
        <f t="array" ref="O710">_xlfn.IFS(Table1[[#This Row],[Age]]&lt;25,"Young",Table1[[#This Row],[Age]]&lt;45,"Adult",Table1[[#This Row],[Age]]&gt;=45,"Old")</f>
        <v>Adult</v>
      </c>
    </row>
    <row r="711" spans="1:15" x14ac:dyDescent="0.25">
      <c r="A711" s="1">
        <v>9804</v>
      </c>
      <c r="B711" s="1" t="s">
        <v>65</v>
      </c>
      <c r="C711" s="1" t="s">
        <v>822</v>
      </c>
      <c r="D711" s="1">
        <v>62</v>
      </c>
      <c r="E711" s="1">
        <v>20</v>
      </c>
      <c r="F711" s="1" t="s">
        <v>953</v>
      </c>
      <c r="G711" s="1" t="s">
        <v>16</v>
      </c>
      <c r="H711" s="1" t="s">
        <v>36</v>
      </c>
      <c r="I711" s="1" t="s">
        <v>51</v>
      </c>
      <c r="J711" s="1">
        <v>40</v>
      </c>
      <c r="K711" s="1" t="s">
        <v>19</v>
      </c>
      <c r="L711" s="3">
        <v>131526</v>
      </c>
      <c r="M711" s="3">
        <v>131526</v>
      </c>
      <c r="N711" s="1" t="s">
        <v>26</v>
      </c>
      <c r="O711" s="5" t="str" cm="1">
        <f t="array" ref="O711">_xlfn.IFS(Table1[[#This Row],[Age]]&lt;25,"Young",Table1[[#This Row],[Age]]&lt;45,"Adult",Table1[[#This Row],[Age]]&gt;=45,"Old")</f>
        <v>Old</v>
      </c>
    </row>
    <row r="712" spans="1:15" x14ac:dyDescent="0.25">
      <c r="A712" s="1">
        <v>14500</v>
      </c>
      <c r="B712" s="1" t="s">
        <v>253</v>
      </c>
      <c r="C712" s="1" t="s">
        <v>581</v>
      </c>
      <c r="D712" s="1">
        <v>47</v>
      </c>
      <c r="E712" s="1">
        <v>25</v>
      </c>
      <c r="F712" s="1" t="s">
        <v>954</v>
      </c>
      <c r="G712" s="1" t="s">
        <v>50</v>
      </c>
      <c r="H712" s="1" t="s">
        <v>17</v>
      </c>
      <c r="I712" s="1" t="s">
        <v>51</v>
      </c>
      <c r="J712" s="1">
        <v>20</v>
      </c>
      <c r="K712" s="1" t="s">
        <v>52</v>
      </c>
      <c r="L712" s="3">
        <v>130000</v>
      </c>
      <c r="M712" s="3">
        <v>81250</v>
      </c>
      <c r="N712" s="1" t="s">
        <v>20</v>
      </c>
      <c r="O712" s="5" t="str" cm="1">
        <f t="array" ref="O712">_xlfn.IFS(Table1[[#This Row],[Age]]&lt;25,"Young",Table1[[#This Row],[Age]]&lt;45,"Adult",Table1[[#This Row],[Age]]&gt;=45,"Old")</f>
        <v>Old</v>
      </c>
    </row>
    <row r="713" spans="1:15" x14ac:dyDescent="0.25">
      <c r="A713" s="1">
        <v>8953</v>
      </c>
      <c r="B713" s="1" t="s">
        <v>209</v>
      </c>
      <c r="C713" s="1" t="s">
        <v>246</v>
      </c>
      <c r="D713" s="1">
        <v>40</v>
      </c>
      <c r="E713" s="1">
        <v>10</v>
      </c>
      <c r="F713" s="1" t="s">
        <v>954</v>
      </c>
      <c r="G713" s="1" t="s">
        <v>50</v>
      </c>
      <c r="H713" s="1" t="s">
        <v>36</v>
      </c>
      <c r="I713" s="1" t="s">
        <v>18</v>
      </c>
      <c r="J713" s="1">
        <v>20</v>
      </c>
      <c r="K713" s="1" t="s">
        <v>42</v>
      </c>
      <c r="L713" s="3">
        <v>68000</v>
      </c>
      <c r="M713" s="3">
        <v>34000</v>
      </c>
      <c r="N713" s="1" t="s">
        <v>20</v>
      </c>
      <c r="O713" s="5" t="str" cm="1">
        <f t="array" ref="O713">_xlfn.IFS(Table1[[#This Row],[Age]]&lt;25,"Young",Table1[[#This Row],[Age]]&lt;45,"Adult",Table1[[#This Row],[Age]]&gt;=45,"Old")</f>
        <v>Adult</v>
      </c>
    </row>
    <row r="714" spans="1:15" x14ac:dyDescent="0.25">
      <c r="A714" s="1">
        <v>3370</v>
      </c>
      <c r="B714" s="1" t="s">
        <v>852</v>
      </c>
      <c r="C714" s="1" t="s">
        <v>701</v>
      </c>
      <c r="D714" s="1">
        <v>42</v>
      </c>
      <c r="E714" s="1">
        <v>8</v>
      </c>
      <c r="F714" s="1" t="s">
        <v>954</v>
      </c>
      <c r="G714" s="1" t="s">
        <v>35</v>
      </c>
      <c r="H714" s="1" t="s">
        <v>36</v>
      </c>
      <c r="I714" s="1" t="s">
        <v>18</v>
      </c>
      <c r="J714" s="1">
        <v>40</v>
      </c>
      <c r="K714" s="1" t="s">
        <v>25</v>
      </c>
      <c r="L714" s="3">
        <v>99528</v>
      </c>
      <c r="M714" s="3">
        <v>99528</v>
      </c>
      <c r="N714" s="1" t="s">
        <v>29</v>
      </c>
      <c r="O714" s="5" t="str" cm="1">
        <f t="array" ref="O714">_xlfn.IFS(Table1[[#This Row],[Age]]&lt;25,"Young",Table1[[#This Row],[Age]]&lt;45,"Adult",Table1[[#This Row],[Age]]&gt;=45,"Old")</f>
        <v>Adult</v>
      </c>
    </row>
    <row r="715" spans="1:15" x14ac:dyDescent="0.25">
      <c r="A715" s="1">
        <v>16098</v>
      </c>
      <c r="B715" s="1" t="s">
        <v>853</v>
      </c>
      <c r="C715" s="1" t="s">
        <v>360</v>
      </c>
      <c r="D715" s="1">
        <v>49</v>
      </c>
      <c r="E715" s="1">
        <v>31</v>
      </c>
      <c r="F715" s="1" t="s">
        <v>954</v>
      </c>
      <c r="G715" s="1" t="s">
        <v>45</v>
      </c>
      <c r="H715" s="1" t="s">
        <v>32</v>
      </c>
      <c r="I715" s="1" t="s">
        <v>18</v>
      </c>
      <c r="J715" s="1">
        <v>20</v>
      </c>
      <c r="K715" s="1" t="s">
        <v>37</v>
      </c>
      <c r="L715" s="3">
        <v>85000</v>
      </c>
      <c r="M715" s="3">
        <v>42500</v>
      </c>
      <c r="N715" s="1" t="s">
        <v>20</v>
      </c>
      <c r="O715" s="5" t="str" cm="1">
        <f t="array" ref="O715">_xlfn.IFS(Table1[[#This Row],[Age]]&lt;25,"Young",Table1[[#This Row],[Age]]&lt;45,"Adult",Table1[[#This Row],[Age]]&gt;=45,"Old")</f>
        <v>Old</v>
      </c>
    </row>
    <row r="716" spans="1:15" x14ac:dyDescent="0.25">
      <c r="A716" s="1">
        <v>1322</v>
      </c>
      <c r="B716" s="1" t="s">
        <v>131</v>
      </c>
      <c r="C716" s="1" t="s">
        <v>854</v>
      </c>
      <c r="D716" s="1">
        <v>52</v>
      </c>
      <c r="E716" s="1">
        <v>6</v>
      </c>
      <c r="F716" s="1" t="s">
        <v>954</v>
      </c>
      <c r="G716" s="1" t="s">
        <v>45</v>
      </c>
      <c r="H716" s="1" t="s">
        <v>24</v>
      </c>
      <c r="I716" s="1" t="s">
        <v>18</v>
      </c>
      <c r="J716" s="1">
        <v>40</v>
      </c>
      <c r="K716" s="1" t="s">
        <v>37</v>
      </c>
      <c r="L716" s="3">
        <v>86515</v>
      </c>
      <c r="M716" s="3">
        <v>86515</v>
      </c>
      <c r="N716" s="1" t="s">
        <v>26</v>
      </c>
      <c r="O716" s="5" t="str" cm="1">
        <f t="array" ref="O716">_xlfn.IFS(Table1[[#This Row],[Age]]&lt;25,"Young",Table1[[#This Row],[Age]]&lt;45,"Adult",Table1[[#This Row],[Age]]&gt;=45,"Old")</f>
        <v>Old</v>
      </c>
    </row>
    <row r="717" spans="1:15" x14ac:dyDescent="0.25">
      <c r="A717" s="1">
        <v>18362</v>
      </c>
      <c r="B717" s="1" t="s">
        <v>430</v>
      </c>
      <c r="C717" s="1" t="s">
        <v>432</v>
      </c>
      <c r="D717" s="1">
        <v>28</v>
      </c>
      <c r="E717" s="1">
        <v>2</v>
      </c>
      <c r="F717" s="1" t="s">
        <v>953</v>
      </c>
      <c r="G717" s="1" t="s">
        <v>50</v>
      </c>
      <c r="H717" s="1" t="s">
        <v>32</v>
      </c>
      <c r="I717" s="1" t="s">
        <v>18</v>
      </c>
      <c r="J717" s="1">
        <v>40</v>
      </c>
      <c r="K717" s="1" t="s">
        <v>37</v>
      </c>
      <c r="L717" s="3">
        <v>105939</v>
      </c>
      <c r="M717" s="3">
        <v>105939</v>
      </c>
      <c r="N717" s="1" t="s">
        <v>26</v>
      </c>
      <c r="O717" s="5" t="str" cm="1">
        <f t="array" ref="O717">_xlfn.IFS(Table1[[#This Row],[Age]]&lt;25,"Young",Table1[[#This Row],[Age]]&lt;45,"Adult",Table1[[#This Row],[Age]]&gt;=45,"Old")</f>
        <v>Adult</v>
      </c>
    </row>
    <row r="718" spans="1:15" x14ac:dyDescent="0.25">
      <c r="A718" s="1">
        <v>2393</v>
      </c>
      <c r="B718" s="1" t="s">
        <v>350</v>
      </c>
      <c r="C718" s="1" t="s">
        <v>855</v>
      </c>
      <c r="D718" s="1">
        <v>39</v>
      </c>
      <c r="E718" s="1">
        <v>0</v>
      </c>
      <c r="F718" s="1" t="s">
        <v>953</v>
      </c>
      <c r="G718" s="1" t="s">
        <v>23</v>
      </c>
      <c r="H718" s="1" t="s">
        <v>36</v>
      </c>
      <c r="I718" s="1" t="s">
        <v>18</v>
      </c>
      <c r="J718" s="1">
        <v>40</v>
      </c>
      <c r="K718" s="1" t="s">
        <v>37</v>
      </c>
      <c r="L718" s="3">
        <v>107000</v>
      </c>
      <c r="M718" s="3">
        <v>107000</v>
      </c>
      <c r="N718" s="1" t="s">
        <v>26</v>
      </c>
      <c r="O718" s="5" t="str" cm="1">
        <f t="array" ref="O718">_xlfn.IFS(Table1[[#This Row],[Age]]&lt;25,"Young",Table1[[#This Row],[Age]]&lt;45,"Adult",Table1[[#This Row],[Age]]&gt;=45,"Old")</f>
        <v>Adult</v>
      </c>
    </row>
    <row r="719" spans="1:15" x14ac:dyDescent="0.25">
      <c r="A719" s="1">
        <v>12154</v>
      </c>
      <c r="B719" s="1" t="s">
        <v>856</v>
      </c>
      <c r="C719" s="1" t="s">
        <v>857</v>
      </c>
      <c r="D719" s="1">
        <v>44</v>
      </c>
      <c r="E719" s="1">
        <v>23</v>
      </c>
      <c r="F719" s="1" t="s">
        <v>953</v>
      </c>
      <c r="G719" s="1" t="s">
        <v>23</v>
      </c>
      <c r="H719" s="1" t="s">
        <v>24</v>
      </c>
      <c r="I719" s="1" t="s">
        <v>18</v>
      </c>
      <c r="J719" s="1">
        <v>20</v>
      </c>
      <c r="K719" s="1" t="s">
        <v>52</v>
      </c>
      <c r="L719" s="3">
        <v>140400</v>
      </c>
      <c r="M719" s="3">
        <v>70200</v>
      </c>
      <c r="N719" s="1" t="s">
        <v>29</v>
      </c>
      <c r="O719" s="5" t="str" cm="1">
        <f t="array" ref="O719">_xlfn.IFS(Table1[[#This Row],[Age]]&lt;25,"Young",Table1[[#This Row],[Age]]&lt;45,"Adult",Table1[[#This Row],[Age]]&gt;=45,"Old")</f>
        <v>Adult</v>
      </c>
    </row>
    <row r="720" spans="1:15" x14ac:dyDescent="0.25">
      <c r="A720" s="1">
        <v>8034</v>
      </c>
      <c r="B720" s="1" t="s">
        <v>69</v>
      </c>
      <c r="C720" s="1" t="s">
        <v>22</v>
      </c>
      <c r="D720" s="1">
        <v>57</v>
      </c>
      <c r="E720" s="1">
        <v>36</v>
      </c>
      <c r="F720" s="1" t="s">
        <v>954</v>
      </c>
      <c r="G720" s="1" t="s">
        <v>35</v>
      </c>
      <c r="H720" s="1" t="s">
        <v>32</v>
      </c>
      <c r="I720" s="1" t="s">
        <v>18</v>
      </c>
      <c r="J720" s="1">
        <v>40</v>
      </c>
      <c r="K720" s="1" t="s">
        <v>25</v>
      </c>
      <c r="L720" s="3">
        <v>98000</v>
      </c>
      <c r="M720" s="3">
        <v>98000</v>
      </c>
      <c r="N720" s="1" t="s">
        <v>29</v>
      </c>
      <c r="O720" s="5" t="str" cm="1">
        <f t="array" ref="O720">_xlfn.IFS(Table1[[#This Row],[Age]]&lt;25,"Young",Table1[[#This Row],[Age]]&lt;45,"Adult",Table1[[#This Row],[Age]]&gt;=45,"Old")</f>
        <v>Old</v>
      </c>
    </row>
    <row r="721" spans="1:15" x14ac:dyDescent="0.25">
      <c r="A721" s="1">
        <v>21990</v>
      </c>
      <c r="B721" s="1" t="s">
        <v>858</v>
      </c>
      <c r="C721" s="1" t="s">
        <v>859</v>
      </c>
      <c r="D721" s="1">
        <v>49</v>
      </c>
      <c r="E721" s="1">
        <v>30</v>
      </c>
      <c r="F721" s="1" t="s">
        <v>953</v>
      </c>
      <c r="G721" s="1" t="s">
        <v>45</v>
      </c>
      <c r="H721" s="1" t="s">
        <v>36</v>
      </c>
      <c r="I721" s="1" t="s">
        <v>18</v>
      </c>
      <c r="J721" s="1">
        <v>16</v>
      </c>
      <c r="K721" s="1" t="s">
        <v>42</v>
      </c>
      <c r="L721" s="3">
        <v>73440</v>
      </c>
      <c r="M721" s="3">
        <v>29376</v>
      </c>
      <c r="N721" s="1" t="s">
        <v>20</v>
      </c>
      <c r="O721" s="5" t="str" cm="1">
        <f t="array" ref="O721">_xlfn.IFS(Table1[[#This Row],[Age]]&lt;25,"Young",Table1[[#This Row],[Age]]&lt;45,"Adult",Table1[[#This Row],[Age]]&gt;=45,"Old")</f>
        <v>Old</v>
      </c>
    </row>
    <row r="722" spans="1:15" x14ac:dyDescent="0.25">
      <c r="A722" s="1">
        <v>2935</v>
      </c>
      <c r="B722" s="1" t="s">
        <v>860</v>
      </c>
      <c r="C722" s="1" t="s">
        <v>275</v>
      </c>
      <c r="D722" s="1">
        <v>41</v>
      </c>
      <c r="E722" s="1">
        <v>21</v>
      </c>
      <c r="F722" s="1" t="s">
        <v>954</v>
      </c>
      <c r="G722" s="1" t="s">
        <v>45</v>
      </c>
      <c r="H722" s="1" t="s">
        <v>32</v>
      </c>
      <c r="I722" s="1" t="s">
        <v>18</v>
      </c>
      <c r="J722" s="1">
        <v>40</v>
      </c>
      <c r="K722" s="1" t="s">
        <v>37</v>
      </c>
      <c r="L722" s="3">
        <v>85000</v>
      </c>
      <c r="M722" s="3">
        <v>85000</v>
      </c>
      <c r="N722" s="1" t="s">
        <v>29</v>
      </c>
      <c r="O722" s="5" t="str" cm="1">
        <f t="array" ref="O722">_xlfn.IFS(Table1[[#This Row],[Age]]&lt;25,"Young",Table1[[#This Row],[Age]]&lt;45,"Adult",Table1[[#This Row],[Age]]&gt;=45,"Old")</f>
        <v>Adult</v>
      </c>
    </row>
    <row r="723" spans="1:15" x14ac:dyDescent="0.25">
      <c r="A723" s="1">
        <v>4869</v>
      </c>
      <c r="B723" s="1" t="s">
        <v>653</v>
      </c>
      <c r="C723" s="1" t="s">
        <v>15</v>
      </c>
      <c r="D723" s="1">
        <v>57</v>
      </c>
      <c r="E723" s="1">
        <v>29</v>
      </c>
      <c r="F723" s="1" t="s">
        <v>954</v>
      </c>
      <c r="G723" s="1" t="s">
        <v>16</v>
      </c>
      <c r="H723" s="1" t="s">
        <v>17</v>
      </c>
      <c r="I723" s="1" t="s">
        <v>51</v>
      </c>
      <c r="J723" s="1">
        <v>20</v>
      </c>
      <c r="K723" s="1" t="s">
        <v>37</v>
      </c>
      <c r="L723" s="3">
        <v>91934</v>
      </c>
      <c r="M723" s="3">
        <v>45967</v>
      </c>
      <c r="N723" s="1" t="s">
        <v>20</v>
      </c>
      <c r="O723" s="5" t="str" cm="1">
        <f t="array" ref="O723">_xlfn.IFS(Table1[[#This Row],[Age]]&lt;25,"Young",Table1[[#This Row],[Age]]&lt;45,"Adult",Table1[[#This Row],[Age]]&gt;=45,"Old")</f>
        <v>Old</v>
      </c>
    </row>
    <row r="724" spans="1:15" x14ac:dyDescent="0.25">
      <c r="A724" s="1">
        <v>22043</v>
      </c>
      <c r="B724" s="1" t="s">
        <v>110</v>
      </c>
      <c r="C724" s="1" t="s">
        <v>273</v>
      </c>
      <c r="D724" s="1">
        <v>36</v>
      </c>
      <c r="E724" s="1">
        <v>1</v>
      </c>
      <c r="F724" s="1" t="s">
        <v>953</v>
      </c>
      <c r="G724" s="1" t="s">
        <v>35</v>
      </c>
      <c r="H724" s="1" t="s">
        <v>24</v>
      </c>
      <c r="I724" s="1" t="s">
        <v>51</v>
      </c>
      <c r="J724" s="1">
        <v>32</v>
      </c>
      <c r="K724" s="1" t="s">
        <v>25</v>
      </c>
      <c r="L724" s="3">
        <v>115016</v>
      </c>
      <c r="M724" s="3">
        <v>92012.800000000003</v>
      </c>
      <c r="N724" s="1" t="s">
        <v>26</v>
      </c>
      <c r="O724" s="5" t="str" cm="1">
        <f t="array" ref="O724">_xlfn.IFS(Table1[[#This Row],[Age]]&lt;25,"Young",Table1[[#This Row],[Age]]&lt;45,"Adult",Table1[[#This Row],[Age]]&gt;=45,"Old")</f>
        <v>Adult</v>
      </c>
    </row>
    <row r="725" spans="1:15" x14ac:dyDescent="0.25">
      <c r="A725" s="1">
        <v>2006</v>
      </c>
      <c r="B725" s="1" t="s">
        <v>861</v>
      </c>
      <c r="C725" s="1" t="s">
        <v>862</v>
      </c>
      <c r="D725" s="1">
        <v>48</v>
      </c>
      <c r="E725" s="1">
        <v>3</v>
      </c>
      <c r="F725" s="1" t="s">
        <v>953</v>
      </c>
      <c r="G725" s="1" t="s">
        <v>16</v>
      </c>
      <c r="H725" s="1" t="s">
        <v>24</v>
      </c>
      <c r="I725" s="1" t="s">
        <v>18</v>
      </c>
      <c r="J725" s="1">
        <v>40</v>
      </c>
      <c r="K725" s="1" t="s">
        <v>25</v>
      </c>
      <c r="L725" s="3">
        <v>120233</v>
      </c>
      <c r="M725" s="3">
        <v>120233</v>
      </c>
      <c r="N725" s="1" t="s">
        <v>20</v>
      </c>
      <c r="O725" s="5" t="str" cm="1">
        <f t="array" ref="O725">_xlfn.IFS(Table1[[#This Row],[Age]]&lt;25,"Young",Table1[[#This Row],[Age]]&lt;45,"Adult",Table1[[#This Row],[Age]]&gt;=45,"Old")</f>
        <v>Old</v>
      </c>
    </row>
    <row r="726" spans="1:15" x14ac:dyDescent="0.25">
      <c r="A726" s="1">
        <v>1703</v>
      </c>
      <c r="B726" s="1" t="s">
        <v>255</v>
      </c>
      <c r="C726" s="1" t="s">
        <v>863</v>
      </c>
      <c r="D726" s="1">
        <v>40</v>
      </c>
      <c r="E726" s="1">
        <v>9</v>
      </c>
      <c r="F726" s="1" t="s">
        <v>953</v>
      </c>
      <c r="G726" s="1" t="s">
        <v>16</v>
      </c>
      <c r="H726" s="1" t="s">
        <v>32</v>
      </c>
      <c r="I726" s="1" t="s">
        <v>18</v>
      </c>
      <c r="J726" s="1">
        <v>40</v>
      </c>
      <c r="K726" s="1" t="s">
        <v>42</v>
      </c>
      <c r="L726" s="3">
        <v>87000</v>
      </c>
      <c r="M726" s="3">
        <v>87000</v>
      </c>
      <c r="N726" s="1" t="s">
        <v>29</v>
      </c>
      <c r="O726" s="5" t="str" cm="1">
        <f t="array" ref="O726">_xlfn.IFS(Table1[[#This Row],[Age]]&lt;25,"Young",Table1[[#This Row],[Age]]&lt;45,"Adult",Table1[[#This Row],[Age]]&gt;=45,"Old")</f>
        <v>Adult</v>
      </c>
    </row>
    <row r="727" spans="1:15" x14ac:dyDescent="0.25">
      <c r="A727" s="1">
        <v>8789</v>
      </c>
      <c r="B727" s="1" t="s">
        <v>864</v>
      </c>
      <c r="C727" s="1" t="s">
        <v>807</v>
      </c>
      <c r="D727" s="1">
        <v>44</v>
      </c>
      <c r="E727" s="1">
        <v>8</v>
      </c>
      <c r="F727" s="1" t="s">
        <v>953</v>
      </c>
      <c r="G727" s="1" t="s">
        <v>23</v>
      </c>
      <c r="H727" s="1" t="s">
        <v>192</v>
      </c>
      <c r="I727" s="1" t="s">
        <v>18</v>
      </c>
      <c r="J727" s="1">
        <v>20</v>
      </c>
      <c r="K727" s="1" t="s">
        <v>52</v>
      </c>
      <c r="L727" s="3">
        <v>140400</v>
      </c>
      <c r="M727" s="3">
        <v>70200</v>
      </c>
      <c r="N727" s="1" t="s">
        <v>29</v>
      </c>
      <c r="O727" s="5" t="str" cm="1">
        <f t="array" ref="O727">_xlfn.IFS(Table1[[#This Row],[Age]]&lt;25,"Young",Table1[[#This Row],[Age]]&lt;45,"Adult",Table1[[#This Row],[Age]]&gt;=45,"Old")</f>
        <v>Adult</v>
      </c>
    </row>
    <row r="728" spans="1:15" x14ac:dyDescent="0.25">
      <c r="A728" s="1">
        <v>7219</v>
      </c>
      <c r="B728" s="1" t="s">
        <v>865</v>
      </c>
      <c r="C728" s="1" t="s">
        <v>866</v>
      </c>
      <c r="D728" s="1">
        <v>45</v>
      </c>
      <c r="E728" s="1">
        <v>11</v>
      </c>
      <c r="F728" s="1" t="s">
        <v>953</v>
      </c>
      <c r="G728" s="1" t="s">
        <v>16</v>
      </c>
      <c r="H728" s="1" t="s">
        <v>32</v>
      </c>
      <c r="I728" s="1" t="s">
        <v>51</v>
      </c>
      <c r="J728" s="1">
        <v>40</v>
      </c>
      <c r="K728" s="1" t="s">
        <v>42</v>
      </c>
      <c r="L728" s="3">
        <v>83984</v>
      </c>
      <c r="M728" s="3">
        <v>83984</v>
      </c>
      <c r="N728" s="1" t="s">
        <v>29</v>
      </c>
      <c r="O728" s="5" t="str" cm="1">
        <f t="array" ref="O728">_xlfn.IFS(Table1[[#This Row],[Age]]&lt;25,"Young",Table1[[#This Row],[Age]]&lt;45,"Adult",Table1[[#This Row],[Age]]&gt;=45,"Old")</f>
        <v>Old</v>
      </c>
    </row>
    <row r="729" spans="1:15" x14ac:dyDescent="0.25">
      <c r="A729" s="1">
        <v>1354</v>
      </c>
      <c r="B729" s="1" t="s">
        <v>165</v>
      </c>
      <c r="C729" s="1" t="s">
        <v>705</v>
      </c>
      <c r="D729" s="1">
        <v>25</v>
      </c>
      <c r="E729" s="1">
        <v>4</v>
      </c>
      <c r="F729" s="1" t="s">
        <v>954</v>
      </c>
      <c r="G729" s="1" t="s">
        <v>45</v>
      </c>
      <c r="H729" s="1" t="s">
        <v>32</v>
      </c>
      <c r="I729" s="1" t="s">
        <v>18</v>
      </c>
      <c r="J729" s="1">
        <v>20</v>
      </c>
      <c r="K729" s="1" t="s">
        <v>37</v>
      </c>
      <c r="L729" s="3">
        <v>85000</v>
      </c>
      <c r="M729" s="3">
        <v>42500</v>
      </c>
      <c r="N729" s="1" t="s">
        <v>29</v>
      </c>
      <c r="O729" s="5" t="str" cm="1">
        <f t="array" ref="O729">_xlfn.IFS(Table1[[#This Row],[Age]]&lt;25,"Young",Table1[[#This Row],[Age]]&lt;45,"Adult",Table1[[#This Row],[Age]]&gt;=45,"Old")</f>
        <v>Adult</v>
      </c>
    </row>
    <row r="730" spans="1:15" x14ac:dyDescent="0.25">
      <c r="A730" s="1">
        <v>21046</v>
      </c>
      <c r="B730" s="1" t="s">
        <v>391</v>
      </c>
      <c r="C730" s="1" t="s">
        <v>867</v>
      </c>
      <c r="D730" s="1">
        <v>45</v>
      </c>
      <c r="E730" s="1">
        <v>14</v>
      </c>
      <c r="F730" s="1" t="s">
        <v>953</v>
      </c>
      <c r="G730" s="1" t="s">
        <v>35</v>
      </c>
      <c r="H730" s="1" t="s">
        <v>36</v>
      </c>
      <c r="I730" s="1" t="s">
        <v>18</v>
      </c>
      <c r="J730" s="1">
        <v>40</v>
      </c>
      <c r="K730" s="1" t="s">
        <v>25</v>
      </c>
      <c r="L730" s="3">
        <v>122000</v>
      </c>
      <c r="M730" s="3">
        <v>122000</v>
      </c>
      <c r="N730" s="1" t="s">
        <v>26</v>
      </c>
      <c r="O730" s="5" t="str" cm="1">
        <f t="array" ref="O730">_xlfn.IFS(Table1[[#This Row],[Age]]&lt;25,"Young",Table1[[#This Row],[Age]]&lt;45,"Adult",Table1[[#This Row],[Age]]&gt;=45,"Old")</f>
        <v>Old</v>
      </c>
    </row>
    <row r="731" spans="1:15" x14ac:dyDescent="0.25">
      <c r="A731" s="1">
        <v>5680</v>
      </c>
      <c r="B731" s="1" t="s">
        <v>204</v>
      </c>
      <c r="C731" s="1" t="s">
        <v>281</v>
      </c>
      <c r="D731" s="1">
        <v>38</v>
      </c>
      <c r="E731" s="1">
        <v>7</v>
      </c>
      <c r="F731" s="1" t="s">
        <v>953</v>
      </c>
      <c r="G731" s="1" t="s">
        <v>16</v>
      </c>
      <c r="H731" s="1" t="s">
        <v>24</v>
      </c>
      <c r="I731" s="1" t="s">
        <v>18</v>
      </c>
      <c r="J731" s="1">
        <v>40</v>
      </c>
      <c r="K731" s="1" t="s">
        <v>37</v>
      </c>
      <c r="L731" s="3">
        <v>94590</v>
      </c>
      <c r="M731" s="3">
        <v>94590</v>
      </c>
      <c r="N731" s="1" t="s">
        <v>29</v>
      </c>
      <c r="O731" s="5" t="str" cm="1">
        <f t="array" ref="O731">_xlfn.IFS(Table1[[#This Row],[Age]]&lt;25,"Young",Table1[[#This Row],[Age]]&lt;45,"Adult",Table1[[#This Row],[Age]]&gt;=45,"Old")</f>
        <v>Adult</v>
      </c>
    </row>
    <row r="732" spans="1:15" x14ac:dyDescent="0.25">
      <c r="A732" s="1">
        <v>8503</v>
      </c>
      <c r="B732" s="1" t="s">
        <v>72</v>
      </c>
      <c r="C732" s="1" t="s">
        <v>868</v>
      </c>
      <c r="D732" s="1">
        <v>63</v>
      </c>
      <c r="E732" s="1">
        <v>13</v>
      </c>
      <c r="F732" s="1" t="s">
        <v>953</v>
      </c>
      <c r="G732" s="1" t="s">
        <v>23</v>
      </c>
      <c r="H732" s="1" t="s">
        <v>119</v>
      </c>
      <c r="I732" s="1" t="s">
        <v>51</v>
      </c>
      <c r="J732" s="1">
        <v>32</v>
      </c>
      <c r="K732" s="1" t="s">
        <v>52</v>
      </c>
      <c r="L732" s="3">
        <v>140400</v>
      </c>
      <c r="M732" s="3">
        <v>112320</v>
      </c>
      <c r="N732" s="1" t="s">
        <v>29</v>
      </c>
      <c r="O732" s="5" t="str" cm="1">
        <f t="array" ref="O732">_xlfn.IFS(Table1[[#This Row],[Age]]&lt;25,"Young",Table1[[#This Row],[Age]]&lt;45,"Adult",Table1[[#This Row],[Age]]&gt;=45,"Old")</f>
        <v>Old</v>
      </c>
    </row>
    <row r="733" spans="1:15" x14ac:dyDescent="0.25">
      <c r="A733" s="1">
        <v>4823</v>
      </c>
      <c r="B733" s="1" t="s">
        <v>869</v>
      </c>
      <c r="C733" s="1" t="s">
        <v>870</v>
      </c>
      <c r="D733" s="1">
        <v>55</v>
      </c>
      <c r="E733" s="1">
        <v>26</v>
      </c>
      <c r="F733" s="1" t="s">
        <v>954</v>
      </c>
      <c r="G733" s="1" t="s">
        <v>45</v>
      </c>
      <c r="H733" s="1" t="s">
        <v>24</v>
      </c>
      <c r="I733" s="1" t="s">
        <v>51</v>
      </c>
      <c r="J733" s="1">
        <v>8</v>
      </c>
      <c r="K733" s="1" t="s">
        <v>19</v>
      </c>
      <c r="L733" s="3">
        <v>115000</v>
      </c>
      <c r="M733" s="3">
        <v>23000</v>
      </c>
      <c r="N733" s="1" t="s">
        <v>20</v>
      </c>
      <c r="O733" s="5" t="str" cm="1">
        <f t="array" ref="O733">_xlfn.IFS(Table1[[#This Row],[Age]]&lt;25,"Young",Table1[[#This Row],[Age]]&lt;45,"Adult",Table1[[#This Row],[Age]]&gt;=45,"Old")</f>
        <v>Old</v>
      </c>
    </row>
    <row r="734" spans="1:15" x14ac:dyDescent="0.25">
      <c r="A734" s="1">
        <v>16204</v>
      </c>
      <c r="B734" s="1" t="s">
        <v>861</v>
      </c>
      <c r="C734" s="1" t="s">
        <v>871</v>
      </c>
      <c r="D734" s="1">
        <v>25</v>
      </c>
      <c r="E734" s="1">
        <v>1</v>
      </c>
      <c r="F734" s="1" t="s">
        <v>953</v>
      </c>
      <c r="G734" s="1" t="s">
        <v>50</v>
      </c>
      <c r="H734" s="1" t="s">
        <v>36</v>
      </c>
      <c r="I734" s="1" t="s">
        <v>18</v>
      </c>
      <c r="J734" s="1">
        <v>40</v>
      </c>
      <c r="K734" s="1" t="s">
        <v>37</v>
      </c>
      <c r="L734" s="3">
        <v>106713</v>
      </c>
      <c r="M734" s="3">
        <v>106713</v>
      </c>
      <c r="N734" s="1" t="s">
        <v>26</v>
      </c>
      <c r="O734" s="5" t="str" cm="1">
        <f t="array" ref="O734">_xlfn.IFS(Table1[[#This Row],[Age]]&lt;25,"Young",Table1[[#This Row],[Age]]&lt;45,"Adult",Table1[[#This Row],[Age]]&gt;=45,"Old")</f>
        <v>Adult</v>
      </c>
    </row>
    <row r="735" spans="1:15" x14ac:dyDescent="0.25">
      <c r="A735" s="1">
        <v>22623</v>
      </c>
      <c r="B735" s="1" t="s">
        <v>397</v>
      </c>
      <c r="C735" s="1" t="s">
        <v>773</v>
      </c>
      <c r="D735" s="1">
        <v>28</v>
      </c>
      <c r="E735" s="1">
        <v>3</v>
      </c>
      <c r="F735" s="1" t="s">
        <v>954</v>
      </c>
      <c r="G735" s="1" t="s">
        <v>35</v>
      </c>
      <c r="H735" s="1" t="s">
        <v>24</v>
      </c>
      <c r="I735" s="1" t="s">
        <v>18</v>
      </c>
      <c r="J735" s="1">
        <v>20</v>
      </c>
      <c r="K735" s="1" t="s">
        <v>37</v>
      </c>
      <c r="L735" s="3">
        <v>85000</v>
      </c>
      <c r="M735" s="3">
        <v>42500</v>
      </c>
      <c r="N735" s="1" t="s">
        <v>20</v>
      </c>
      <c r="O735" s="5" t="str" cm="1">
        <f t="array" ref="O735">_xlfn.IFS(Table1[[#This Row],[Age]]&lt;25,"Young",Table1[[#This Row],[Age]]&lt;45,"Adult",Table1[[#This Row],[Age]]&gt;=45,"Old")</f>
        <v>Adult</v>
      </c>
    </row>
    <row r="736" spans="1:15" x14ac:dyDescent="0.25">
      <c r="A736" s="1">
        <v>4435</v>
      </c>
      <c r="B736" s="1" t="s">
        <v>106</v>
      </c>
      <c r="C736" s="1" t="s">
        <v>61</v>
      </c>
      <c r="D736" s="1">
        <v>48</v>
      </c>
      <c r="E736" s="1">
        <v>10</v>
      </c>
      <c r="F736" s="1" t="s">
        <v>953</v>
      </c>
      <c r="G736" s="1" t="s">
        <v>23</v>
      </c>
      <c r="H736" s="1" t="s">
        <v>24</v>
      </c>
      <c r="I736" s="1" t="s">
        <v>18</v>
      </c>
      <c r="J736" s="1">
        <v>40</v>
      </c>
      <c r="K736" s="1" t="s">
        <v>25</v>
      </c>
      <c r="L736" s="3">
        <v>109464</v>
      </c>
      <c r="M736" s="3">
        <v>109464</v>
      </c>
      <c r="N736" s="1" t="s">
        <v>26</v>
      </c>
      <c r="O736" s="5" t="str" cm="1">
        <f t="array" ref="O736">_xlfn.IFS(Table1[[#This Row],[Age]]&lt;25,"Young",Table1[[#This Row],[Age]]&lt;45,"Adult",Table1[[#This Row],[Age]]&gt;=45,"Old")</f>
        <v>Old</v>
      </c>
    </row>
    <row r="737" spans="1:15" x14ac:dyDescent="0.25">
      <c r="A737" s="1">
        <v>19167</v>
      </c>
      <c r="B737" s="1" t="s">
        <v>152</v>
      </c>
      <c r="C737" s="1" t="s">
        <v>282</v>
      </c>
      <c r="D737" s="1">
        <v>51</v>
      </c>
      <c r="E737" s="1">
        <v>32</v>
      </c>
      <c r="F737" s="1" t="s">
        <v>954</v>
      </c>
      <c r="G737" s="1" t="s">
        <v>50</v>
      </c>
      <c r="H737" s="1" t="s">
        <v>119</v>
      </c>
      <c r="I737" s="1" t="s">
        <v>51</v>
      </c>
      <c r="J737" s="1">
        <v>24</v>
      </c>
      <c r="K737" s="1" t="s">
        <v>52</v>
      </c>
      <c r="L737" s="3">
        <v>130000</v>
      </c>
      <c r="M737" s="3">
        <v>78000</v>
      </c>
      <c r="N737" s="1" t="s">
        <v>26</v>
      </c>
      <c r="O737" s="5" t="str" cm="1">
        <f t="array" ref="O737">_xlfn.IFS(Table1[[#This Row],[Age]]&lt;25,"Young",Table1[[#This Row],[Age]]&lt;45,"Adult",Table1[[#This Row],[Age]]&gt;=45,"Old")</f>
        <v>Old</v>
      </c>
    </row>
    <row r="738" spans="1:15" x14ac:dyDescent="0.25">
      <c r="A738" s="1">
        <v>7829</v>
      </c>
      <c r="B738" s="1" t="s">
        <v>69</v>
      </c>
      <c r="C738" s="1" t="s">
        <v>872</v>
      </c>
      <c r="D738" s="1">
        <v>52</v>
      </c>
      <c r="E738" s="1">
        <v>29</v>
      </c>
      <c r="F738" s="1" t="s">
        <v>954</v>
      </c>
      <c r="G738" s="1" t="s">
        <v>23</v>
      </c>
      <c r="H738" s="1" t="s">
        <v>24</v>
      </c>
      <c r="I738" s="1" t="s">
        <v>51</v>
      </c>
      <c r="J738" s="1">
        <v>20</v>
      </c>
      <c r="K738" s="1" t="s">
        <v>25</v>
      </c>
      <c r="L738" s="3">
        <v>98000</v>
      </c>
      <c r="M738" s="3">
        <v>49000</v>
      </c>
      <c r="N738" s="1" t="s">
        <v>29</v>
      </c>
      <c r="O738" s="5" t="str" cm="1">
        <f t="array" ref="O738">_xlfn.IFS(Table1[[#This Row],[Age]]&lt;25,"Young",Table1[[#This Row],[Age]]&lt;45,"Adult",Table1[[#This Row],[Age]]&gt;=45,"Old")</f>
        <v>Old</v>
      </c>
    </row>
    <row r="739" spans="1:15" x14ac:dyDescent="0.25">
      <c r="A739" s="1">
        <v>15925</v>
      </c>
      <c r="B739" s="1" t="s">
        <v>873</v>
      </c>
      <c r="C739" s="1" t="s">
        <v>99</v>
      </c>
      <c r="D739" s="1">
        <v>44</v>
      </c>
      <c r="E739" s="1">
        <v>15</v>
      </c>
      <c r="F739" s="1" t="s">
        <v>954</v>
      </c>
      <c r="G739" s="1" t="s">
        <v>50</v>
      </c>
      <c r="H739" s="1" t="s">
        <v>17</v>
      </c>
      <c r="I739" s="1" t="s">
        <v>51</v>
      </c>
      <c r="J739" s="1">
        <v>32</v>
      </c>
      <c r="K739" s="1" t="s">
        <v>25</v>
      </c>
      <c r="L739" s="3">
        <v>98000</v>
      </c>
      <c r="M739" s="3">
        <v>78400</v>
      </c>
      <c r="N739" s="1" t="s">
        <v>20</v>
      </c>
      <c r="O739" s="5" t="str" cm="1">
        <f t="array" ref="O739">_xlfn.IFS(Table1[[#This Row],[Age]]&lt;25,"Young",Table1[[#This Row],[Age]]&lt;45,"Adult",Table1[[#This Row],[Age]]&gt;=45,"Old")</f>
        <v>Adult</v>
      </c>
    </row>
    <row r="740" spans="1:15" x14ac:dyDescent="0.25">
      <c r="A740" s="1">
        <v>9083</v>
      </c>
      <c r="B740" s="1" t="s">
        <v>800</v>
      </c>
      <c r="C740" s="1" t="s">
        <v>613</v>
      </c>
      <c r="D740" s="1">
        <v>57</v>
      </c>
      <c r="E740" s="1">
        <v>35</v>
      </c>
      <c r="F740" s="1" t="s">
        <v>954</v>
      </c>
      <c r="G740" s="1" t="s">
        <v>35</v>
      </c>
      <c r="H740" s="1" t="s">
        <v>192</v>
      </c>
      <c r="I740" s="1" t="s">
        <v>51</v>
      </c>
      <c r="J740" s="1">
        <v>8</v>
      </c>
      <c r="K740" s="1" t="s">
        <v>25</v>
      </c>
      <c r="L740" s="3">
        <v>98000</v>
      </c>
      <c r="M740" s="3">
        <v>19600</v>
      </c>
      <c r="N740" s="1" t="s">
        <v>29</v>
      </c>
      <c r="O740" s="5" t="str" cm="1">
        <f t="array" ref="O740">_xlfn.IFS(Table1[[#This Row],[Age]]&lt;25,"Young",Table1[[#This Row],[Age]]&lt;45,"Adult",Table1[[#This Row],[Age]]&gt;=45,"Old")</f>
        <v>Old</v>
      </c>
    </row>
    <row r="741" spans="1:15" x14ac:dyDescent="0.25">
      <c r="A741" s="1">
        <v>12774</v>
      </c>
      <c r="B741" s="1" t="s">
        <v>691</v>
      </c>
      <c r="C741" s="1" t="s">
        <v>874</v>
      </c>
      <c r="D741" s="1">
        <v>39</v>
      </c>
      <c r="E741" s="1">
        <v>21</v>
      </c>
      <c r="F741" s="1" t="s">
        <v>954</v>
      </c>
      <c r="G741" s="1" t="s">
        <v>50</v>
      </c>
      <c r="H741" s="1" t="s">
        <v>36</v>
      </c>
      <c r="I741" s="1" t="s">
        <v>18</v>
      </c>
      <c r="J741" s="1">
        <v>40</v>
      </c>
      <c r="K741" s="1" t="s">
        <v>19</v>
      </c>
      <c r="L741" s="3">
        <v>123924</v>
      </c>
      <c r="M741" s="3">
        <v>123924</v>
      </c>
      <c r="N741" s="1" t="s">
        <v>29</v>
      </c>
      <c r="O741" s="5" t="str" cm="1">
        <f t="array" ref="O741">_xlfn.IFS(Table1[[#This Row],[Age]]&lt;25,"Young",Table1[[#This Row],[Age]]&lt;45,"Adult",Table1[[#This Row],[Age]]&gt;=45,"Old")</f>
        <v>Adult</v>
      </c>
    </row>
    <row r="742" spans="1:15" x14ac:dyDescent="0.25">
      <c r="A742" s="1">
        <v>6185</v>
      </c>
      <c r="B742" s="1" t="s">
        <v>875</v>
      </c>
      <c r="C742" s="1" t="s">
        <v>876</v>
      </c>
      <c r="D742" s="1">
        <v>61</v>
      </c>
      <c r="E742" s="1">
        <v>42</v>
      </c>
      <c r="F742" s="1" t="s">
        <v>953</v>
      </c>
      <c r="G742" s="1" t="s">
        <v>50</v>
      </c>
      <c r="H742" s="1" t="s">
        <v>32</v>
      </c>
      <c r="I742" s="1" t="s">
        <v>18</v>
      </c>
      <c r="J742" s="1">
        <v>24</v>
      </c>
      <c r="K742" s="1" t="s">
        <v>42</v>
      </c>
      <c r="L742" s="3">
        <v>74977</v>
      </c>
      <c r="M742" s="3">
        <v>44986.2</v>
      </c>
      <c r="N742" s="1" t="s">
        <v>29</v>
      </c>
      <c r="O742" s="5" t="str" cm="1">
        <f t="array" ref="O742">_xlfn.IFS(Table1[[#This Row],[Age]]&lt;25,"Young",Table1[[#This Row],[Age]]&lt;45,"Adult",Table1[[#This Row],[Age]]&gt;=45,"Old")</f>
        <v>Old</v>
      </c>
    </row>
    <row r="743" spans="1:15" x14ac:dyDescent="0.25">
      <c r="A743" s="1">
        <v>20540</v>
      </c>
      <c r="B743" s="1" t="s">
        <v>258</v>
      </c>
      <c r="C743" s="1" t="s">
        <v>715</v>
      </c>
      <c r="D743" s="1">
        <v>56</v>
      </c>
      <c r="E743" s="1">
        <v>11</v>
      </c>
      <c r="F743" s="1" t="s">
        <v>953</v>
      </c>
      <c r="G743" s="1" t="s">
        <v>35</v>
      </c>
      <c r="H743" s="1" t="s">
        <v>36</v>
      </c>
      <c r="I743" s="1" t="s">
        <v>51</v>
      </c>
      <c r="J743" s="1">
        <v>32</v>
      </c>
      <c r="K743" s="1" t="s">
        <v>42</v>
      </c>
      <c r="L743" s="3">
        <v>73440</v>
      </c>
      <c r="M743" s="3">
        <v>58752</v>
      </c>
      <c r="N743" s="1" t="s">
        <v>29</v>
      </c>
      <c r="O743" s="5" t="str" cm="1">
        <f t="array" ref="O743">_xlfn.IFS(Table1[[#This Row],[Age]]&lt;25,"Young",Table1[[#This Row],[Age]]&lt;45,"Adult",Table1[[#This Row],[Age]]&gt;=45,"Old")</f>
        <v>Old</v>
      </c>
    </row>
    <row r="744" spans="1:15" x14ac:dyDescent="0.25">
      <c r="A744" s="1">
        <v>20585</v>
      </c>
      <c r="B744" s="1" t="s">
        <v>60</v>
      </c>
      <c r="C744" s="1" t="s">
        <v>877</v>
      </c>
      <c r="D744" s="1">
        <v>46</v>
      </c>
      <c r="E744" s="1">
        <v>5</v>
      </c>
      <c r="F744" s="1" t="s">
        <v>954</v>
      </c>
      <c r="G744" s="1" t="s">
        <v>23</v>
      </c>
      <c r="H744" s="1" t="s">
        <v>32</v>
      </c>
      <c r="I744" s="1" t="s">
        <v>18</v>
      </c>
      <c r="J744" s="1">
        <v>20</v>
      </c>
      <c r="K744" s="1" t="s">
        <v>25</v>
      </c>
      <c r="L744" s="3">
        <v>98000</v>
      </c>
      <c r="M744" s="3">
        <v>49000</v>
      </c>
      <c r="N744" s="1" t="s">
        <v>20</v>
      </c>
      <c r="O744" s="5" t="str" cm="1">
        <f t="array" ref="O744">_xlfn.IFS(Table1[[#This Row],[Age]]&lt;25,"Young",Table1[[#This Row],[Age]]&lt;45,"Adult",Table1[[#This Row],[Age]]&gt;=45,"Old")</f>
        <v>Old</v>
      </c>
    </row>
    <row r="745" spans="1:15" x14ac:dyDescent="0.25">
      <c r="A745" s="1">
        <v>6053</v>
      </c>
      <c r="B745" s="1" t="s">
        <v>106</v>
      </c>
      <c r="C745" s="1" t="s">
        <v>709</v>
      </c>
      <c r="D745" s="1">
        <v>40</v>
      </c>
      <c r="E745" s="1">
        <v>17</v>
      </c>
      <c r="F745" s="1" t="s">
        <v>953</v>
      </c>
      <c r="G745" s="1" t="s">
        <v>16</v>
      </c>
      <c r="H745" s="1" t="s">
        <v>64</v>
      </c>
      <c r="I745" s="1" t="s">
        <v>18</v>
      </c>
      <c r="J745" s="1">
        <v>40</v>
      </c>
      <c r="K745" s="1" t="s">
        <v>19</v>
      </c>
      <c r="L745" s="3">
        <v>133188</v>
      </c>
      <c r="M745" s="3">
        <v>133188</v>
      </c>
      <c r="N745" s="1" t="s">
        <v>29</v>
      </c>
      <c r="O745" s="5" t="str" cm="1">
        <f t="array" ref="O745">_xlfn.IFS(Table1[[#This Row],[Age]]&lt;25,"Young",Table1[[#This Row],[Age]]&lt;45,"Adult",Table1[[#This Row],[Age]]&gt;=45,"Old")</f>
        <v>Adult</v>
      </c>
    </row>
    <row r="746" spans="1:15" x14ac:dyDescent="0.25">
      <c r="A746" s="1">
        <v>10879</v>
      </c>
      <c r="B746" s="1" t="s">
        <v>93</v>
      </c>
      <c r="C746" s="1" t="s">
        <v>878</v>
      </c>
      <c r="D746" s="1">
        <v>37</v>
      </c>
      <c r="E746" s="1">
        <v>6</v>
      </c>
      <c r="F746" s="1" t="s">
        <v>953</v>
      </c>
      <c r="G746" s="1" t="s">
        <v>35</v>
      </c>
      <c r="H746" s="1" t="s">
        <v>32</v>
      </c>
      <c r="I746" s="1" t="s">
        <v>18</v>
      </c>
      <c r="J746" s="1">
        <v>32</v>
      </c>
      <c r="K746" s="1" t="s">
        <v>42</v>
      </c>
      <c r="L746" s="3">
        <v>77852</v>
      </c>
      <c r="M746" s="3">
        <v>62281.599999999999</v>
      </c>
      <c r="N746" s="1" t="s">
        <v>29</v>
      </c>
      <c r="O746" s="5" t="str" cm="1">
        <f t="array" ref="O746">_xlfn.IFS(Table1[[#This Row],[Age]]&lt;25,"Young",Table1[[#This Row],[Age]]&lt;45,"Adult",Table1[[#This Row],[Age]]&gt;=45,"Old")</f>
        <v>Adult</v>
      </c>
    </row>
    <row r="747" spans="1:15" x14ac:dyDescent="0.25">
      <c r="A747" s="1">
        <v>19649</v>
      </c>
      <c r="B747" s="1" t="s">
        <v>596</v>
      </c>
      <c r="C747" s="1" t="s">
        <v>879</v>
      </c>
      <c r="D747" s="1">
        <v>37</v>
      </c>
      <c r="E747" s="1">
        <v>0</v>
      </c>
      <c r="F747" s="1" t="s">
        <v>953</v>
      </c>
      <c r="G747" s="1" t="s">
        <v>23</v>
      </c>
      <c r="H747" s="1" t="s">
        <v>17</v>
      </c>
      <c r="I747" s="1" t="s">
        <v>51</v>
      </c>
      <c r="J747" s="1">
        <v>20</v>
      </c>
      <c r="K747" s="1" t="s">
        <v>52</v>
      </c>
      <c r="L747" s="3">
        <v>140400</v>
      </c>
      <c r="M747" s="3">
        <v>70200</v>
      </c>
      <c r="N747" s="1" t="s">
        <v>20</v>
      </c>
      <c r="O747" s="5" t="str" cm="1">
        <f t="array" ref="O747">_xlfn.IFS(Table1[[#This Row],[Age]]&lt;25,"Young",Table1[[#This Row],[Age]]&lt;45,"Adult",Table1[[#This Row],[Age]]&gt;=45,"Old")</f>
        <v>Adult</v>
      </c>
    </row>
    <row r="748" spans="1:15" x14ac:dyDescent="0.25">
      <c r="A748" s="1">
        <v>13761</v>
      </c>
      <c r="B748" s="1" t="s">
        <v>350</v>
      </c>
      <c r="C748" s="1" t="s">
        <v>351</v>
      </c>
      <c r="D748" s="1">
        <v>53</v>
      </c>
      <c r="E748" s="1">
        <v>29</v>
      </c>
      <c r="F748" s="1" t="s">
        <v>953</v>
      </c>
      <c r="G748" s="1" t="s">
        <v>16</v>
      </c>
      <c r="H748" s="1" t="s">
        <v>24</v>
      </c>
      <c r="I748" s="1" t="s">
        <v>18</v>
      </c>
      <c r="J748" s="1">
        <v>20</v>
      </c>
      <c r="K748" s="1" t="s">
        <v>19</v>
      </c>
      <c r="L748" s="3">
        <v>138000</v>
      </c>
      <c r="M748" s="3">
        <v>69000</v>
      </c>
      <c r="N748" s="1" t="s">
        <v>29</v>
      </c>
      <c r="O748" s="5" t="str" cm="1">
        <f t="array" ref="O748">_xlfn.IFS(Table1[[#This Row],[Age]]&lt;25,"Young",Table1[[#This Row],[Age]]&lt;45,"Adult",Table1[[#This Row],[Age]]&gt;=45,"Old")</f>
        <v>Old</v>
      </c>
    </row>
    <row r="749" spans="1:15" x14ac:dyDescent="0.25">
      <c r="A749" s="1">
        <v>1528</v>
      </c>
      <c r="B749" s="1" t="s">
        <v>69</v>
      </c>
      <c r="C749" s="1" t="s">
        <v>880</v>
      </c>
      <c r="D749" s="1">
        <v>58</v>
      </c>
      <c r="E749" s="1">
        <v>13</v>
      </c>
      <c r="F749" s="1" t="s">
        <v>954</v>
      </c>
      <c r="G749" s="1" t="s">
        <v>16</v>
      </c>
      <c r="H749" s="1" t="s">
        <v>64</v>
      </c>
      <c r="I749" s="1" t="s">
        <v>51</v>
      </c>
      <c r="J749" s="1">
        <v>40</v>
      </c>
      <c r="K749" s="1" t="s">
        <v>19</v>
      </c>
      <c r="L749" s="3">
        <v>119706</v>
      </c>
      <c r="M749" s="3">
        <v>119706</v>
      </c>
      <c r="N749" s="1" t="s">
        <v>20</v>
      </c>
      <c r="O749" s="5" t="str" cm="1">
        <f t="array" ref="O749">_xlfn.IFS(Table1[[#This Row],[Age]]&lt;25,"Young",Table1[[#This Row],[Age]]&lt;45,"Adult",Table1[[#This Row],[Age]]&gt;=45,"Old")</f>
        <v>Old</v>
      </c>
    </row>
    <row r="750" spans="1:15" x14ac:dyDescent="0.25">
      <c r="A750" s="1">
        <v>10909</v>
      </c>
      <c r="B750" s="1" t="s">
        <v>881</v>
      </c>
      <c r="C750" s="1" t="s">
        <v>571</v>
      </c>
      <c r="D750" s="1">
        <v>28</v>
      </c>
      <c r="E750" s="1">
        <v>5</v>
      </c>
      <c r="F750" s="1" t="s">
        <v>954</v>
      </c>
      <c r="G750" s="1" t="s">
        <v>50</v>
      </c>
      <c r="H750" s="1" t="s">
        <v>32</v>
      </c>
      <c r="I750" s="1" t="s">
        <v>18</v>
      </c>
      <c r="J750" s="1">
        <v>32</v>
      </c>
      <c r="K750" s="1" t="s">
        <v>25</v>
      </c>
      <c r="L750" s="3">
        <v>98000</v>
      </c>
      <c r="M750" s="3">
        <v>78400</v>
      </c>
      <c r="N750" s="1" t="s">
        <v>20</v>
      </c>
      <c r="O750" s="5" t="str" cm="1">
        <f t="array" ref="O750">_xlfn.IFS(Table1[[#This Row],[Age]]&lt;25,"Young",Table1[[#This Row],[Age]]&lt;45,"Adult",Table1[[#This Row],[Age]]&gt;=45,"Old")</f>
        <v>Adult</v>
      </c>
    </row>
    <row r="751" spans="1:15" x14ac:dyDescent="0.25">
      <c r="A751" s="1">
        <v>19554</v>
      </c>
      <c r="B751" s="1" t="s">
        <v>843</v>
      </c>
      <c r="C751" s="1" t="s">
        <v>882</v>
      </c>
      <c r="D751" s="1">
        <v>50</v>
      </c>
      <c r="E751" s="1">
        <v>31</v>
      </c>
      <c r="F751" s="1" t="s">
        <v>954</v>
      </c>
      <c r="G751" s="1" t="s">
        <v>23</v>
      </c>
      <c r="H751" s="1" t="s">
        <v>24</v>
      </c>
      <c r="I751" s="1" t="s">
        <v>18</v>
      </c>
      <c r="J751" s="1">
        <v>40</v>
      </c>
      <c r="K751" s="1" t="s">
        <v>25</v>
      </c>
      <c r="L751" s="3">
        <v>99025</v>
      </c>
      <c r="M751" s="3">
        <v>99025</v>
      </c>
      <c r="N751" s="1" t="s">
        <v>29</v>
      </c>
      <c r="O751" s="5" t="str" cm="1">
        <f t="array" ref="O751">_xlfn.IFS(Table1[[#This Row],[Age]]&lt;25,"Young",Table1[[#This Row],[Age]]&lt;45,"Adult",Table1[[#This Row],[Age]]&gt;=45,"Old")</f>
        <v>Old</v>
      </c>
    </row>
    <row r="752" spans="1:15" x14ac:dyDescent="0.25">
      <c r="A752" s="1">
        <v>12985</v>
      </c>
      <c r="B752" s="1" t="s">
        <v>596</v>
      </c>
      <c r="C752" s="1" t="s">
        <v>883</v>
      </c>
      <c r="D752" s="1">
        <v>35</v>
      </c>
      <c r="E752" s="1">
        <v>17</v>
      </c>
      <c r="F752" s="1" t="s">
        <v>954</v>
      </c>
      <c r="G752" s="1" t="s">
        <v>45</v>
      </c>
      <c r="H752" s="1" t="s">
        <v>36</v>
      </c>
      <c r="I752" s="1" t="s">
        <v>18</v>
      </c>
      <c r="J752" s="1">
        <v>32</v>
      </c>
      <c r="K752" s="1" t="s">
        <v>42</v>
      </c>
      <c r="L752" s="3">
        <v>68000</v>
      </c>
      <c r="M752" s="3">
        <v>54400</v>
      </c>
      <c r="N752" s="1" t="s">
        <v>20</v>
      </c>
      <c r="O752" s="5" t="str" cm="1">
        <f t="array" ref="O752">_xlfn.IFS(Table1[[#This Row],[Age]]&lt;25,"Young",Table1[[#This Row],[Age]]&lt;45,"Adult",Table1[[#This Row],[Age]]&gt;=45,"Old")</f>
        <v>Adult</v>
      </c>
    </row>
    <row r="753" spans="1:15" x14ac:dyDescent="0.25">
      <c r="A753" s="1">
        <v>13684</v>
      </c>
      <c r="B753" s="1" t="s">
        <v>884</v>
      </c>
      <c r="C753" s="1" t="s">
        <v>885</v>
      </c>
      <c r="D753" s="1">
        <v>55</v>
      </c>
      <c r="E753" s="1">
        <v>17</v>
      </c>
      <c r="F753" s="1" t="s">
        <v>954</v>
      </c>
      <c r="G753" s="1" t="s">
        <v>50</v>
      </c>
      <c r="H753" s="1" t="s">
        <v>36</v>
      </c>
      <c r="I753" s="1" t="s">
        <v>18</v>
      </c>
      <c r="J753" s="1">
        <v>32</v>
      </c>
      <c r="K753" s="1" t="s">
        <v>37</v>
      </c>
      <c r="L753" s="3">
        <v>85000</v>
      </c>
      <c r="M753" s="3">
        <v>68000</v>
      </c>
      <c r="N753" s="1" t="s">
        <v>20</v>
      </c>
      <c r="O753" s="5" t="str" cm="1">
        <f t="array" ref="O753">_xlfn.IFS(Table1[[#This Row],[Age]]&lt;25,"Young",Table1[[#This Row],[Age]]&lt;45,"Adult",Table1[[#This Row],[Age]]&gt;=45,"Old")</f>
        <v>Old</v>
      </c>
    </row>
    <row r="754" spans="1:15" x14ac:dyDescent="0.25">
      <c r="A754" s="1">
        <v>7185</v>
      </c>
      <c r="B754" s="1" t="s">
        <v>886</v>
      </c>
      <c r="C754" s="1" t="s">
        <v>887</v>
      </c>
      <c r="D754" s="1">
        <v>46</v>
      </c>
      <c r="E754" s="1">
        <v>11</v>
      </c>
      <c r="F754" s="1" t="s">
        <v>954</v>
      </c>
      <c r="G754" s="1" t="s">
        <v>23</v>
      </c>
      <c r="H754" s="1" t="s">
        <v>36</v>
      </c>
      <c r="I754" s="1" t="s">
        <v>51</v>
      </c>
      <c r="J754" s="1">
        <v>32</v>
      </c>
      <c r="K754" s="1" t="s">
        <v>42</v>
      </c>
      <c r="L754" s="3">
        <v>68000</v>
      </c>
      <c r="M754" s="3">
        <v>54400</v>
      </c>
      <c r="N754" s="1" t="s">
        <v>20</v>
      </c>
      <c r="O754" s="5" t="str" cm="1">
        <f t="array" ref="O754">_xlfn.IFS(Table1[[#This Row],[Age]]&lt;25,"Young",Table1[[#This Row],[Age]]&lt;45,"Adult",Table1[[#This Row],[Age]]&gt;=45,"Old")</f>
        <v>Old</v>
      </c>
    </row>
    <row r="755" spans="1:15" x14ac:dyDescent="0.25">
      <c r="A755" s="1">
        <v>3177</v>
      </c>
      <c r="B755" s="1" t="s">
        <v>888</v>
      </c>
      <c r="C755" s="1" t="s">
        <v>56</v>
      </c>
      <c r="D755" s="1">
        <v>26</v>
      </c>
      <c r="E755" s="1">
        <v>4</v>
      </c>
      <c r="F755" s="1" t="s">
        <v>953</v>
      </c>
      <c r="G755" s="1" t="s">
        <v>16</v>
      </c>
      <c r="H755" s="1" t="s">
        <v>36</v>
      </c>
      <c r="I755" s="1" t="s">
        <v>18</v>
      </c>
      <c r="J755" s="1">
        <v>40</v>
      </c>
      <c r="K755" s="1" t="s">
        <v>42</v>
      </c>
      <c r="L755" s="3">
        <v>85479</v>
      </c>
      <c r="M755" s="3">
        <v>85479</v>
      </c>
      <c r="N755" s="1" t="s">
        <v>29</v>
      </c>
      <c r="O755" s="5" t="str" cm="1">
        <f t="array" ref="O755">_xlfn.IFS(Table1[[#This Row],[Age]]&lt;25,"Young",Table1[[#This Row],[Age]]&lt;45,"Adult",Table1[[#This Row],[Age]]&gt;=45,"Old")</f>
        <v>Adult</v>
      </c>
    </row>
    <row r="756" spans="1:15" x14ac:dyDescent="0.25">
      <c r="A756" s="1">
        <v>20088</v>
      </c>
      <c r="B756" s="1" t="s">
        <v>889</v>
      </c>
      <c r="C756" s="1" t="s">
        <v>220</v>
      </c>
      <c r="D756" s="1">
        <v>47</v>
      </c>
      <c r="E756" s="1">
        <v>10</v>
      </c>
      <c r="F756" s="1" t="s">
        <v>954</v>
      </c>
      <c r="G756" s="1" t="s">
        <v>23</v>
      </c>
      <c r="H756" s="1" t="s">
        <v>24</v>
      </c>
      <c r="I756" s="1" t="s">
        <v>18</v>
      </c>
      <c r="J756" s="1">
        <v>40</v>
      </c>
      <c r="K756" s="1" t="s">
        <v>37</v>
      </c>
      <c r="L756" s="3">
        <v>98104</v>
      </c>
      <c r="M756" s="3">
        <v>98104</v>
      </c>
      <c r="N756" s="1" t="s">
        <v>26</v>
      </c>
      <c r="O756" s="5" t="str" cm="1">
        <f t="array" ref="O756">_xlfn.IFS(Table1[[#This Row],[Age]]&lt;25,"Young",Table1[[#This Row],[Age]]&lt;45,"Adult",Table1[[#This Row],[Age]]&gt;=45,"Old")</f>
        <v>Old</v>
      </c>
    </row>
    <row r="757" spans="1:15" x14ac:dyDescent="0.25">
      <c r="A757" s="1">
        <v>21240</v>
      </c>
      <c r="B757" s="1" t="s">
        <v>890</v>
      </c>
      <c r="C757" s="1" t="s">
        <v>891</v>
      </c>
      <c r="D757" s="1">
        <v>38</v>
      </c>
      <c r="E757" s="1">
        <v>9</v>
      </c>
      <c r="F757" s="1" t="s">
        <v>953</v>
      </c>
      <c r="G757" s="1" t="s">
        <v>45</v>
      </c>
      <c r="H757" s="1" t="s">
        <v>36</v>
      </c>
      <c r="I757" s="1" t="s">
        <v>18</v>
      </c>
      <c r="J757" s="1">
        <v>20</v>
      </c>
      <c r="K757" s="1" t="s">
        <v>42</v>
      </c>
      <c r="L757" s="3">
        <v>81753</v>
      </c>
      <c r="M757" s="3">
        <v>40876.5</v>
      </c>
      <c r="N757" s="1" t="s">
        <v>29</v>
      </c>
      <c r="O757" s="5" t="str" cm="1">
        <f t="array" ref="O757">_xlfn.IFS(Table1[[#This Row],[Age]]&lt;25,"Young",Table1[[#This Row],[Age]]&lt;45,"Adult",Table1[[#This Row],[Age]]&gt;=45,"Old")</f>
        <v>Adult</v>
      </c>
    </row>
    <row r="758" spans="1:15" x14ac:dyDescent="0.25">
      <c r="A758" s="1">
        <v>8644</v>
      </c>
      <c r="B758" s="1" t="s">
        <v>892</v>
      </c>
      <c r="C758" s="1" t="s">
        <v>893</v>
      </c>
      <c r="D758" s="1">
        <v>44</v>
      </c>
      <c r="E758" s="1">
        <v>11</v>
      </c>
      <c r="F758" s="1" t="s">
        <v>953</v>
      </c>
      <c r="G758" s="1" t="s">
        <v>45</v>
      </c>
      <c r="H758" s="1" t="s">
        <v>24</v>
      </c>
      <c r="I758" s="1" t="s">
        <v>18</v>
      </c>
      <c r="J758" s="1">
        <v>40</v>
      </c>
      <c r="K758" s="1" t="s">
        <v>25</v>
      </c>
      <c r="L758" s="3">
        <v>108432</v>
      </c>
      <c r="M758" s="3">
        <v>108432</v>
      </c>
      <c r="N758" s="1" t="s">
        <v>29</v>
      </c>
      <c r="O758" s="5" t="str" cm="1">
        <f t="array" ref="O758">_xlfn.IFS(Table1[[#This Row],[Age]]&lt;25,"Young",Table1[[#This Row],[Age]]&lt;45,"Adult",Table1[[#This Row],[Age]]&gt;=45,"Old")</f>
        <v>Adult</v>
      </c>
    </row>
    <row r="759" spans="1:15" x14ac:dyDescent="0.25">
      <c r="A759" s="1">
        <v>4026</v>
      </c>
      <c r="B759" s="1" t="s">
        <v>33</v>
      </c>
      <c r="C759" s="1" t="s">
        <v>277</v>
      </c>
      <c r="D759" s="1">
        <v>34</v>
      </c>
      <c r="E759" s="1">
        <v>14</v>
      </c>
      <c r="F759" s="1" t="s">
        <v>954</v>
      </c>
      <c r="G759" s="1" t="s">
        <v>16</v>
      </c>
      <c r="H759" s="1" t="s">
        <v>32</v>
      </c>
      <c r="I759" s="1" t="s">
        <v>18</v>
      </c>
      <c r="J759" s="1">
        <v>40</v>
      </c>
      <c r="K759" s="1" t="s">
        <v>37</v>
      </c>
      <c r="L759" s="3">
        <v>86908</v>
      </c>
      <c r="M759" s="3">
        <v>86908</v>
      </c>
      <c r="N759" s="1" t="s">
        <v>29</v>
      </c>
      <c r="O759" s="5" t="str" cm="1">
        <f t="array" ref="O759">_xlfn.IFS(Table1[[#This Row],[Age]]&lt;25,"Young",Table1[[#This Row],[Age]]&lt;45,"Adult",Table1[[#This Row],[Age]]&gt;=45,"Old")</f>
        <v>Adult</v>
      </c>
    </row>
    <row r="760" spans="1:15" x14ac:dyDescent="0.25">
      <c r="A760" s="1">
        <v>10569</v>
      </c>
      <c r="B760" s="1" t="s">
        <v>93</v>
      </c>
      <c r="C760" s="1" t="s">
        <v>894</v>
      </c>
      <c r="D760" s="1">
        <v>51</v>
      </c>
      <c r="E760" s="1">
        <v>22</v>
      </c>
      <c r="F760" s="1" t="s">
        <v>953</v>
      </c>
      <c r="G760" s="1" t="s">
        <v>23</v>
      </c>
      <c r="H760" s="1" t="s">
        <v>32</v>
      </c>
      <c r="I760" s="1" t="s">
        <v>18</v>
      </c>
      <c r="J760" s="1">
        <v>40</v>
      </c>
      <c r="K760" s="1" t="s">
        <v>25</v>
      </c>
      <c r="L760" s="3">
        <v>116184</v>
      </c>
      <c r="M760" s="3">
        <v>116184</v>
      </c>
      <c r="N760" s="1" t="s">
        <v>29</v>
      </c>
      <c r="O760" s="5" t="str" cm="1">
        <f t="array" ref="O760">_xlfn.IFS(Table1[[#This Row],[Age]]&lt;25,"Young",Table1[[#This Row],[Age]]&lt;45,"Adult",Table1[[#This Row],[Age]]&gt;=45,"Old")</f>
        <v>Old</v>
      </c>
    </row>
    <row r="761" spans="1:15" x14ac:dyDescent="0.25">
      <c r="A761" s="1">
        <v>20361</v>
      </c>
      <c r="B761" s="1" t="s">
        <v>895</v>
      </c>
      <c r="C761" s="1" t="s">
        <v>725</v>
      </c>
      <c r="D761" s="1">
        <v>57</v>
      </c>
      <c r="E761" s="1">
        <v>1</v>
      </c>
      <c r="F761" s="1" t="s">
        <v>953</v>
      </c>
      <c r="G761" s="1" t="s">
        <v>23</v>
      </c>
      <c r="H761" s="1" t="s">
        <v>32</v>
      </c>
      <c r="I761" s="1" t="s">
        <v>18</v>
      </c>
      <c r="J761" s="1">
        <v>32</v>
      </c>
      <c r="K761" s="1" t="s">
        <v>42</v>
      </c>
      <c r="L761" s="3">
        <v>81234</v>
      </c>
      <c r="M761" s="3">
        <v>64987.199999999997</v>
      </c>
      <c r="N761" s="1" t="s">
        <v>29</v>
      </c>
      <c r="O761" s="5" t="str" cm="1">
        <f t="array" ref="O761">_xlfn.IFS(Table1[[#This Row],[Age]]&lt;25,"Young",Table1[[#This Row],[Age]]&lt;45,"Adult",Table1[[#This Row],[Age]]&gt;=45,"Old")</f>
        <v>Old</v>
      </c>
    </row>
    <row r="762" spans="1:15" x14ac:dyDescent="0.25">
      <c r="A762" s="1">
        <v>4653</v>
      </c>
      <c r="B762" s="1" t="s">
        <v>787</v>
      </c>
      <c r="C762" s="1" t="s">
        <v>260</v>
      </c>
      <c r="D762" s="1">
        <v>32</v>
      </c>
      <c r="E762" s="1">
        <v>13</v>
      </c>
      <c r="F762" s="1" t="s">
        <v>953</v>
      </c>
      <c r="G762" s="1" t="s">
        <v>23</v>
      </c>
      <c r="H762" s="1" t="s">
        <v>17</v>
      </c>
      <c r="I762" s="1" t="s">
        <v>18</v>
      </c>
      <c r="J762" s="1">
        <v>32</v>
      </c>
      <c r="K762" s="1" t="s">
        <v>19</v>
      </c>
      <c r="L762" s="3">
        <v>124200</v>
      </c>
      <c r="M762" s="3">
        <v>99360</v>
      </c>
      <c r="N762" s="1" t="s">
        <v>29</v>
      </c>
      <c r="O762" s="5" t="str" cm="1">
        <f t="array" ref="O762">_xlfn.IFS(Table1[[#This Row],[Age]]&lt;25,"Young",Table1[[#This Row],[Age]]&lt;45,"Adult",Table1[[#This Row],[Age]]&gt;=45,"Old")</f>
        <v>Adult</v>
      </c>
    </row>
    <row r="763" spans="1:15" x14ac:dyDescent="0.25">
      <c r="A763" s="1">
        <v>19231</v>
      </c>
      <c r="B763" s="1" t="s">
        <v>391</v>
      </c>
      <c r="C763" s="1" t="s">
        <v>613</v>
      </c>
      <c r="D763" s="1">
        <v>26</v>
      </c>
      <c r="E763" s="1">
        <v>1</v>
      </c>
      <c r="F763" s="1" t="s">
        <v>953</v>
      </c>
      <c r="G763" s="1" t="s">
        <v>50</v>
      </c>
      <c r="H763" s="1" t="s">
        <v>17</v>
      </c>
      <c r="I763" s="1" t="s">
        <v>18</v>
      </c>
      <c r="J763" s="1">
        <v>16</v>
      </c>
      <c r="K763" s="1" t="s">
        <v>52</v>
      </c>
      <c r="L763" s="3">
        <v>140400</v>
      </c>
      <c r="M763" s="3">
        <v>56160</v>
      </c>
      <c r="N763" s="1" t="s">
        <v>29</v>
      </c>
      <c r="O763" s="5" t="str" cm="1">
        <f t="array" ref="O763">_xlfn.IFS(Table1[[#This Row],[Age]]&lt;25,"Young",Table1[[#This Row],[Age]]&lt;45,"Adult",Table1[[#This Row],[Age]]&gt;=45,"Old")</f>
        <v>Adult</v>
      </c>
    </row>
    <row r="764" spans="1:15" x14ac:dyDescent="0.25">
      <c r="A764" s="1">
        <v>2032</v>
      </c>
      <c r="B764" s="1" t="s">
        <v>308</v>
      </c>
      <c r="C764" s="1" t="s">
        <v>896</v>
      </c>
      <c r="D764" s="1">
        <v>52</v>
      </c>
      <c r="E764" s="1">
        <v>32</v>
      </c>
      <c r="F764" s="1" t="s">
        <v>953</v>
      </c>
      <c r="G764" s="1" t="s">
        <v>35</v>
      </c>
      <c r="H764" s="1" t="s">
        <v>24</v>
      </c>
      <c r="I764" s="1" t="s">
        <v>51</v>
      </c>
      <c r="J764" s="1">
        <v>20</v>
      </c>
      <c r="K764" s="1" t="s">
        <v>25</v>
      </c>
      <c r="L764" s="3">
        <v>107125</v>
      </c>
      <c r="M764" s="3">
        <v>53562.5</v>
      </c>
      <c r="N764" s="1" t="s">
        <v>29</v>
      </c>
      <c r="O764" s="5" t="str" cm="1">
        <f t="array" ref="O764">_xlfn.IFS(Table1[[#This Row],[Age]]&lt;25,"Young",Table1[[#This Row],[Age]]&lt;45,"Adult",Table1[[#This Row],[Age]]&gt;=45,"Old")</f>
        <v>Old</v>
      </c>
    </row>
    <row r="765" spans="1:15" x14ac:dyDescent="0.25">
      <c r="A765" s="1">
        <v>12064</v>
      </c>
      <c r="B765" s="1" t="s">
        <v>897</v>
      </c>
      <c r="C765" s="1" t="s">
        <v>898</v>
      </c>
      <c r="D765" s="1">
        <v>32</v>
      </c>
      <c r="E765" s="1">
        <v>1</v>
      </c>
      <c r="F765" s="1" t="s">
        <v>954</v>
      </c>
      <c r="G765" s="1" t="s">
        <v>50</v>
      </c>
      <c r="H765" s="1" t="s">
        <v>17</v>
      </c>
      <c r="I765" s="1" t="s">
        <v>18</v>
      </c>
      <c r="J765" s="1">
        <v>32</v>
      </c>
      <c r="K765" s="1" t="s">
        <v>37</v>
      </c>
      <c r="L765" s="3">
        <v>85000</v>
      </c>
      <c r="M765" s="3">
        <v>68000</v>
      </c>
      <c r="N765" s="1" t="s">
        <v>20</v>
      </c>
      <c r="O765" s="5" t="str" cm="1">
        <f t="array" ref="O765">_xlfn.IFS(Table1[[#This Row],[Age]]&lt;25,"Young",Table1[[#This Row],[Age]]&lt;45,"Adult",Table1[[#This Row],[Age]]&gt;=45,"Old")</f>
        <v>Adult</v>
      </c>
    </row>
    <row r="766" spans="1:15" x14ac:dyDescent="0.25">
      <c r="A766" s="1">
        <v>18143</v>
      </c>
      <c r="B766" s="1" t="s">
        <v>91</v>
      </c>
      <c r="C766" s="1" t="s">
        <v>899</v>
      </c>
      <c r="D766" s="1">
        <v>49</v>
      </c>
      <c r="E766" s="1">
        <v>17</v>
      </c>
      <c r="F766" s="1" t="s">
        <v>954</v>
      </c>
      <c r="G766" s="1" t="s">
        <v>45</v>
      </c>
      <c r="H766" s="1" t="s">
        <v>24</v>
      </c>
      <c r="I766" s="1" t="s">
        <v>51</v>
      </c>
      <c r="J766" s="1">
        <v>24</v>
      </c>
      <c r="K766" s="1" t="s">
        <v>19</v>
      </c>
      <c r="L766" s="3">
        <v>115000</v>
      </c>
      <c r="M766" s="3">
        <v>69000</v>
      </c>
      <c r="N766" s="1" t="s">
        <v>26</v>
      </c>
      <c r="O766" s="5" t="str" cm="1">
        <f t="array" ref="O766">_xlfn.IFS(Table1[[#This Row],[Age]]&lt;25,"Young",Table1[[#This Row],[Age]]&lt;45,"Adult",Table1[[#This Row],[Age]]&gt;=45,"Old")</f>
        <v>Old</v>
      </c>
    </row>
    <row r="767" spans="1:15" x14ac:dyDescent="0.25">
      <c r="A767" s="1">
        <v>14724</v>
      </c>
      <c r="B767" s="1" t="s">
        <v>72</v>
      </c>
      <c r="C767" s="1" t="s">
        <v>31</v>
      </c>
      <c r="D767" s="1">
        <v>55</v>
      </c>
      <c r="E767" s="1">
        <v>23</v>
      </c>
      <c r="F767" s="1" t="s">
        <v>953</v>
      </c>
      <c r="G767" s="1" t="s">
        <v>45</v>
      </c>
      <c r="H767" s="1" t="s">
        <v>36</v>
      </c>
      <c r="I767" s="1" t="s">
        <v>18</v>
      </c>
      <c r="J767" s="1">
        <v>40</v>
      </c>
      <c r="K767" s="1" t="s">
        <v>37</v>
      </c>
      <c r="L767" s="3">
        <v>98481</v>
      </c>
      <c r="M767" s="3">
        <v>98481</v>
      </c>
      <c r="N767" s="1" t="s">
        <v>29</v>
      </c>
      <c r="O767" s="5" t="str" cm="1">
        <f t="array" ref="O767">_xlfn.IFS(Table1[[#This Row],[Age]]&lt;25,"Young",Table1[[#This Row],[Age]]&lt;45,"Adult",Table1[[#This Row],[Age]]&gt;=45,"Old")</f>
        <v>Old</v>
      </c>
    </row>
    <row r="768" spans="1:15" x14ac:dyDescent="0.25">
      <c r="A768" s="1">
        <v>22363</v>
      </c>
      <c r="B768" s="1" t="s">
        <v>900</v>
      </c>
      <c r="C768" s="1" t="s">
        <v>901</v>
      </c>
      <c r="D768" s="1">
        <v>44</v>
      </c>
      <c r="E768" s="1">
        <v>7</v>
      </c>
      <c r="F768" s="1" t="s">
        <v>954</v>
      </c>
      <c r="G768" s="1" t="s">
        <v>45</v>
      </c>
      <c r="H768" s="1" t="s">
        <v>119</v>
      </c>
      <c r="I768" s="1" t="s">
        <v>51</v>
      </c>
      <c r="J768" s="1">
        <v>24</v>
      </c>
      <c r="K768" s="1" t="s">
        <v>19</v>
      </c>
      <c r="L768" s="3">
        <v>115000</v>
      </c>
      <c r="M768" s="3">
        <v>69000</v>
      </c>
      <c r="N768" s="1" t="s">
        <v>29</v>
      </c>
      <c r="O768" s="5" t="str" cm="1">
        <f t="array" ref="O768">_xlfn.IFS(Table1[[#This Row],[Age]]&lt;25,"Young",Table1[[#This Row],[Age]]&lt;45,"Adult",Table1[[#This Row],[Age]]&gt;=45,"Old")</f>
        <v>Adult</v>
      </c>
    </row>
    <row r="769" spans="1:15" x14ac:dyDescent="0.25">
      <c r="A769" s="1">
        <v>12829</v>
      </c>
      <c r="B769" s="1" t="s">
        <v>106</v>
      </c>
      <c r="C769" s="1" t="s">
        <v>471</v>
      </c>
      <c r="D769" s="1">
        <v>60</v>
      </c>
      <c r="E769" s="1">
        <v>0</v>
      </c>
      <c r="F769" s="1" t="s">
        <v>953</v>
      </c>
      <c r="G769" s="1" t="s">
        <v>16</v>
      </c>
      <c r="H769" s="1" t="s">
        <v>32</v>
      </c>
      <c r="I769" s="1" t="s">
        <v>18</v>
      </c>
      <c r="J769" s="1">
        <v>40</v>
      </c>
      <c r="K769" s="1" t="s">
        <v>25</v>
      </c>
      <c r="L769" s="3">
        <v>122000</v>
      </c>
      <c r="M769" s="3">
        <v>122000</v>
      </c>
      <c r="N769" s="1" t="s">
        <v>26</v>
      </c>
      <c r="O769" s="5" t="str" cm="1">
        <f t="array" ref="O769">_xlfn.IFS(Table1[[#This Row],[Age]]&lt;25,"Young",Table1[[#This Row],[Age]]&lt;45,"Adult",Table1[[#This Row],[Age]]&gt;=45,"Old")</f>
        <v>Old</v>
      </c>
    </row>
    <row r="770" spans="1:15" x14ac:dyDescent="0.25">
      <c r="A770" s="1">
        <v>2946</v>
      </c>
      <c r="B770" s="1" t="s">
        <v>902</v>
      </c>
      <c r="C770" s="1" t="s">
        <v>388</v>
      </c>
      <c r="D770" s="1">
        <v>38</v>
      </c>
      <c r="E770" s="1">
        <v>12</v>
      </c>
      <c r="F770" s="1" t="s">
        <v>953</v>
      </c>
      <c r="G770" s="1" t="s">
        <v>50</v>
      </c>
      <c r="H770" s="1" t="s">
        <v>24</v>
      </c>
      <c r="I770" s="1" t="s">
        <v>18</v>
      </c>
      <c r="J770" s="1">
        <v>40</v>
      </c>
      <c r="K770" s="1" t="s">
        <v>37</v>
      </c>
      <c r="L770" s="3">
        <v>94084</v>
      </c>
      <c r="M770" s="3">
        <v>94084</v>
      </c>
      <c r="N770" s="1" t="s">
        <v>29</v>
      </c>
      <c r="O770" s="5" t="str" cm="1">
        <f t="array" ref="O770">_xlfn.IFS(Table1[[#This Row],[Age]]&lt;25,"Young",Table1[[#This Row],[Age]]&lt;45,"Adult",Table1[[#This Row],[Age]]&gt;=45,"Old")</f>
        <v>Adult</v>
      </c>
    </row>
    <row r="771" spans="1:15" x14ac:dyDescent="0.25">
      <c r="A771" s="1">
        <v>17266</v>
      </c>
      <c r="B771" s="1" t="s">
        <v>470</v>
      </c>
      <c r="C771" s="1" t="s">
        <v>903</v>
      </c>
      <c r="D771" s="1">
        <v>48</v>
      </c>
      <c r="E771" s="1">
        <v>1</v>
      </c>
      <c r="F771" s="1" t="s">
        <v>953</v>
      </c>
      <c r="G771" s="1" t="s">
        <v>35</v>
      </c>
      <c r="H771" s="1" t="s">
        <v>32</v>
      </c>
      <c r="I771" s="1" t="s">
        <v>18</v>
      </c>
      <c r="J771" s="1">
        <v>16</v>
      </c>
      <c r="K771" s="1" t="s">
        <v>42</v>
      </c>
      <c r="L771" s="3">
        <v>75128</v>
      </c>
      <c r="M771" s="3">
        <v>30051.200000000001</v>
      </c>
      <c r="N771" s="1" t="s">
        <v>26</v>
      </c>
      <c r="O771" s="5" t="str" cm="1">
        <f t="array" ref="O771">_xlfn.IFS(Table1[[#This Row],[Age]]&lt;25,"Young",Table1[[#This Row],[Age]]&lt;45,"Adult",Table1[[#This Row],[Age]]&gt;=45,"Old")</f>
        <v>Old</v>
      </c>
    </row>
    <row r="772" spans="1:15" x14ac:dyDescent="0.25">
      <c r="A772" s="1">
        <v>21905</v>
      </c>
      <c r="B772" s="1" t="s">
        <v>904</v>
      </c>
      <c r="C772" s="1" t="s">
        <v>905</v>
      </c>
      <c r="D772" s="1">
        <v>49</v>
      </c>
      <c r="E772" s="1">
        <v>20</v>
      </c>
      <c r="F772" s="1" t="s">
        <v>954</v>
      </c>
      <c r="G772" s="1" t="s">
        <v>50</v>
      </c>
      <c r="H772" s="1" t="s">
        <v>17</v>
      </c>
      <c r="I772" s="1" t="s">
        <v>18</v>
      </c>
      <c r="J772" s="1">
        <v>16</v>
      </c>
      <c r="K772" s="1" t="s">
        <v>52</v>
      </c>
      <c r="L772" s="3">
        <v>130000</v>
      </c>
      <c r="M772" s="3">
        <v>52000</v>
      </c>
      <c r="N772" s="1" t="s">
        <v>20</v>
      </c>
      <c r="O772" s="5" t="str" cm="1">
        <f t="array" ref="O772">_xlfn.IFS(Table1[[#This Row],[Age]]&lt;25,"Young",Table1[[#This Row],[Age]]&lt;45,"Adult",Table1[[#This Row],[Age]]&gt;=45,"Old")</f>
        <v>Old</v>
      </c>
    </row>
    <row r="773" spans="1:15" x14ac:dyDescent="0.25">
      <c r="A773" s="1">
        <v>11868</v>
      </c>
      <c r="B773" s="1" t="s">
        <v>906</v>
      </c>
      <c r="C773" s="1" t="s">
        <v>907</v>
      </c>
      <c r="D773" s="1">
        <v>41</v>
      </c>
      <c r="E773" s="1">
        <v>15</v>
      </c>
      <c r="F773" s="1" t="s">
        <v>953</v>
      </c>
      <c r="G773" s="1" t="s">
        <v>50</v>
      </c>
      <c r="H773" s="1" t="s">
        <v>36</v>
      </c>
      <c r="I773" s="1" t="s">
        <v>18</v>
      </c>
      <c r="J773" s="1">
        <v>20</v>
      </c>
      <c r="K773" s="1" t="s">
        <v>37</v>
      </c>
      <c r="L773" s="3">
        <v>96267</v>
      </c>
      <c r="M773" s="3">
        <v>48133.5</v>
      </c>
      <c r="N773" s="1" t="s">
        <v>26</v>
      </c>
      <c r="O773" s="5" t="str" cm="1">
        <f t="array" ref="O773">_xlfn.IFS(Table1[[#This Row],[Age]]&lt;25,"Young",Table1[[#This Row],[Age]]&lt;45,"Adult",Table1[[#This Row],[Age]]&gt;=45,"Old")</f>
        <v>Adult</v>
      </c>
    </row>
    <row r="774" spans="1:15" x14ac:dyDescent="0.25">
      <c r="A774" s="1">
        <v>1101</v>
      </c>
      <c r="B774" s="1" t="s">
        <v>624</v>
      </c>
      <c r="C774" s="1" t="s">
        <v>87</v>
      </c>
      <c r="D774" s="1">
        <v>59</v>
      </c>
      <c r="E774" s="1">
        <v>10</v>
      </c>
      <c r="F774" s="1" t="s">
        <v>953</v>
      </c>
      <c r="G774" s="1" t="s">
        <v>45</v>
      </c>
      <c r="H774" s="1" t="s">
        <v>32</v>
      </c>
      <c r="I774" s="1" t="s">
        <v>18</v>
      </c>
      <c r="J774" s="1">
        <v>40</v>
      </c>
      <c r="K774" s="1" t="s">
        <v>37</v>
      </c>
      <c r="L774" s="3">
        <v>107000</v>
      </c>
      <c r="M774" s="3">
        <v>107000</v>
      </c>
      <c r="N774" s="1" t="s">
        <v>26</v>
      </c>
      <c r="O774" s="5" t="str" cm="1">
        <f t="array" ref="O774">_xlfn.IFS(Table1[[#This Row],[Age]]&lt;25,"Young",Table1[[#This Row],[Age]]&lt;45,"Adult",Table1[[#This Row],[Age]]&gt;=45,"Old")</f>
        <v>Old</v>
      </c>
    </row>
    <row r="775" spans="1:15" x14ac:dyDescent="0.25">
      <c r="A775" s="1">
        <v>14451</v>
      </c>
      <c r="B775" s="1" t="s">
        <v>908</v>
      </c>
      <c r="C775" s="1" t="s">
        <v>909</v>
      </c>
      <c r="D775" s="1">
        <v>48</v>
      </c>
      <c r="E775" s="1">
        <v>0</v>
      </c>
      <c r="F775" s="1" t="s">
        <v>954</v>
      </c>
      <c r="G775" s="1" t="s">
        <v>50</v>
      </c>
      <c r="H775" s="1" t="s">
        <v>32</v>
      </c>
      <c r="I775" s="1" t="s">
        <v>51</v>
      </c>
      <c r="J775" s="1">
        <v>24</v>
      </c>
      <c r="K775" s="1" t="s">
        <v>42</v>
      </c>
      <c r="L775" s="3">
        <v>68000</v>
      </c>
      <c r="M775" s="3">
        <v>40800</v>
      </c>
      <c r="N775" s="1" t="s">
        <v>20</v>
      </c>
      <c r="O775" s="5" t="str" cm="1">
        <f t="array" ref="O775">_xlfn.IFS(Table1[[#This Row],[Age]]&lt;25,"Young",Table1[[#This Row],[Age]]&lt;45,"Adult",Table1[[#This Row],[Age]]&gt;=45,"Old")</f>
        <v>Old</v>
      </c>
    </row>
    <row r="776" spans="1:15" x14ac:dyDescent="0.25">
      <c r="A776" s="1">
        <v>16749</v>
      </c>
      <c r="B776" s="1" t="s">
        <v>657</v>
      </c>
      <c r="C776" s="1" t="s">
        <v>511</v>
      </c>
      <c r="D776" s="1">
        <v>59</v>
      </c>
      <c r="E776" s="1">
        <v>35</v>
      </c>
      <c r="F776" s="1" t="s">
        <v>953</v>
      </c>
      <c r="G776" s="1" t="s">
        <v>45</v>
      </c>
      <c r="H776" s="1" t="s">
        <v>36</v>
      </c>
      <c r="I776" s="1" t="s">
        <v>18</v>
      </c>
      <c r="J776" s="1">
        <v>40</v>
      </c>
      <c r="K776" s="1" t="s">
        <v>25</v>
      </c>
      <c r="L776" s="3">
        <v>118476</v>
      </c>
      <c r="M776" s="3">
        <v>118476</v>
      </c>
      <c r="N776" s="1" t="s">
        <v>26</v>
      </c>
      <c r="O776" s="5" t="str" cm="1">
        <f t="array" ref="O776">_xlfn.IFS(Table1[[#This Row],[Age]]&lt;25,"Young",Table1[[#This Row],[Age]]&lt;45,"Adult",Table1[[#This Row],[Age]]&gt;=45,"Old")</f>
        <v>Old</v>
      </c>
    </row>
    <row r="777" spans="1:15" x14ac:dyDescent="0.25">
      <c r="A777" s="1">
        <v>4145</v>
      </c>
      <c r="B777" s="1" t="s">
        <v>910</v>
      </c>
      <c r="C777" s="1" t="s">
        <v>911</v>
      </c>
      <c r="D777" s="1">
        <v>49</v>
      </c>
      <c r="E777" s="1">
        <v>29</v>
      </c>
      <c r="F777" s="1" t="s">
        <v>954</v>
      </c>
      <c r="G777" s="1" t="s">
        <v>45</v>
      </c>
      <c r="H777" s="1" t="s">
        <v>32</v>
      </c>
      <c r="I777" s="1" t="s">
        <v>18</v>
      </c>
      <c r="J777" s="1">
        <v>20</v>
      </c>
      <c r="K777" s="1" t="s">
        <v>42</v>
      </c>
      <c r="L777" s="3">
        <v>68000</v>
      </c>
      <c r="M777" s="3">
        <v>34000</v>
      </c>
      <c r="N777" s="1" t="s">
        <v>20</v>
      </c>
      <c r="O777" s="5" t="str" cm="1">
        <f t="array" ref="O777">_xlfn.IFS(Table1[[#This Row],[Age]]&lt;25,"Young",Table1[[#This Row],[Age]]&lt;45,"Adult",Table1[[#This Row],[Age]]&gt;=45,"Old")</f>
        <v>Old</v>
      </c>
    </row>
    <row r="778" spans="1:15" x14ac:dyDescent="0.25">
      <c r="A778" s="1">
        <v>14892</v>
      </c>
      <c r="B778" s="1" t="s">
        <v>912</v>
      </c>
      <c r="C778" s="1" t="s">
        <v>507</v>
      </c>
      <c r="D778" s="1">
        <v>33</v>
      </c>
      <c r="E778" s="1">
        <v>8</v>
      </c>
      <c r="F778" s="1" t="s">
        <v>953</v>
      </c>
      <c r="G778" s="1" t="s">
        <v>16</v>
      </c>
      <c r="H778" s="1" t="s">
        <v>32</v>
      </c>
      <c r="I778" s="1" t="s">
        <v>18</v>
      </c>
      <c r="J778" s="1">
        <v>40</v>
      </c>
      <c r="K778" s="1" t="s">
        <v>25</v>
      </c>
      <c r="L778" s="3">
        <v>116803</v>
      </c>
      <c r="M778" s="3">
        <v>116803</v>
      </c>
      <c r="N778" s="1" t="s">
        <v>26</v>
      </c>
      <c r="O778" s="5" t="str" cm="1">
        <f t="array" ref="O778">_xlfn.IFS(Table1[[#This Row],[Age]]&lt;25,"Young",Table1[[#This Row],[Age]]&lt;45,"Adult",Table1[[#This Row],[Age]]&gt;=45,"Old")</f>
        <v>Adult</v>
      </c>
    </row>
    <row r="779" spans="1:15" x14ac:dyDescent="0.25">
      <c r="A779" s="1">
        <v>12555</v>
      </c>
      <c r="B779" s="1" t="s">
        <v>470</v>
      </c>
      <c r="C779" s="1" t="s">
        <v>15</v>
      </c>
      <c r="D779" s="1">
        <v>29</v>
      </c>
      <c r="E779" s="1">
        <v>3</v>
      </c>
      <c r="F779" s="1" t="s">
        <v>953</v>
      </c>
      <c r="G779" s="1" t="s">
        <v>23</v>
      </c>
      <c r="H779" s="1" t="s">
        <v>24</v>
      </c>
      <c r="I779" s="1" t="s">
        <v>18</v>
      </c>
      <c r="J779" s="1">
        <v>40</v>
      </c>
      <c r="K779" s="1" t="s">
        <v>25</v>
      </c>
      <c r="L779" s="3">
        <v>114054</v>
      </c>
      <c r="M779" s="3">
        <v>114054</v>
      </c>
      <c r="N779" s="1" t="s">
        <v>26</v>
      </c>
      <c r="O779" s="5" t="str" cm="1">
        <f t="array" ref="O779">_xlfn.IFS(Table1[[#This Row],[Age]]&lt;25,"Young",Table1[[#This Row],[Age]]&lt;45,"Adult",Table1[[#This Row],[Age]]&gt;=45,"Old")</f>
        <v>Adult</v>
      </c>
    </row>
    <row r="780" spans="1:15" x14ac:dyDescent="0.25">
      <c r="A780" s="1">
        <v>21513</v>
      </c>
      <c r="B780" s="1" t="s">
        <v>913</v>
      </c>
      <c r="C780" s="1" t="s">
        <v>914</v>
      </c>
      <c r="D780" s="1">
        <v>36</v>
      </c>
      <c r="E780" s="1">
        <v>8</v>
      </c>
      <c r="F780" s="1" t="s">
        <v>953</v>
      </c>
      <c r="G780" s="1" t="s">
        <v>50</v>
      </c>
      <c r="H780" s="1" t="s">
        <v>119</v>
      </c>
      <c r="I780" s="1" t="s">
        <v>51</v>
      </c>
      <c r="J780" s="1">
        <v>32</v>
      </c>
      <c r="K780" s="1" t="s">
        <v>19</v>
      </c>
      <c r="L780" s="3">
        <v>136489</v>
      </c>
      <c r="M780" s="3">
        <v>109191.2</v>
      </c>
      <c r="N780" s="1" t="s">
        <v>26</v>
      </c>
      <c r="O780" s="5" t="str" cm="1">
        <f t="array" ref="O780">_xlfn.IFS(Table1[[#This Row],[Age]]&lt;25,"Young",Table1[[#This Row],[Age]]&lt;45,"Adult",Table1[[#This Row],[Age]]&gt;=45,"Old")</f>
        <v>Adult</v>
      </c>
    </row>
    <row r="781" spans="1:15" x14ac:dyDescent="0.25">
      <c r="A781" s="1">
        <v>15751</v>
      </c>
      <c r="B781" s="1" t="s">
        <v>325</v>
      </c>
      <c r="C781" s="1" t="s">
        <v>515</v>
      </c>
      <c r="D781" s="1">
        <v>25</v>
      </c>
      <c r="E781" s="1">
        <v>2</v>
      </c>
      <c r="F781" s="1" t="s">
        <v>954</v>
      </c>
      <c r="G781" s="1" t="s">
        <v>45</v>
      </c>
      <c r="H781" s="1" t="s">
        <v>32</v>
      </c>
      <c r="I781" s="1" t="s">
        <v>18</v>
      </c>
      <c r="J781" s="1">
        <v>24</v>
      </c>
      <c r="K781" s="1" t="s">
        <v>42</v>
      </c>
      <c r="L781" s="3">
        <v>68000</v>
      </c>
      <c r="M781" s="3">
        <v>40800</v>
      </c>
      <c r="N781" s="1" t="s">
        <v>20</v>
      </c>
      <c r="O781" s="5" t="str" cm="1">
        <f t="array" ref="O781">_xlfn.IFS(Table1[[#This Row],[Age]]&lt;25,"Young",Table1[[#This Row],[Age]]&lt;45,"Adult",Table1[[#This Row],[Age]]&gt;=45,"Old")</f>
        <v>Adult</v>
      </c>
    </row>
    <row r="782" spans="1:15" x14ac:dyDescent="0.25">
      <c r="A782" s="1">
        <v>5700</v>
      </c>
      <c r="B782" s="1" t="s">
        <v>591</v>
      </c>
      <c r="C782" s="1" t="s">
        <v>915</v>
      </c>
      <c r="D782" s="1">
        <v>42</v>
      </c>
      <c r="E782" s="1">
        <v>10</v>
      </c>
      <c r="F782" s="1" t="s">
        <v>953</v>
      </c>
      <c r="G782" s="1" t="s">
        <v>45</v>
      </c>
      <c r="H782" s="1" t="s">
        <v>32</v>
      </c>
      <c r="I782" s="1" t="s">
        <v>18</v>
      </c>
      <c r="J782" s="1">
        <v>40</v>
      </c>
      <c r="K782" s="1" t="s">
        <v>37</v>
      </c>
      <c r="L782" s="3">
        <v>107000</v>
      </c>
      <c r="M782" s="3">
        <v>107000</v>
      </c>
      <c r="N782" s="1" t="s">
        <v>26</v>
      </c>
      <c r="O782" s="5" t="str" cm="1">
        <f t="array" ref="O782">_xlfn.IFS(Table1[[#This Row],[Age]]&lt;25,"Young",Table1[[#This Row],[Age]]&lt;45,"Adult",Table1[[#This Row],[Age]]&gt;=45,"Old")</f>
        <v>Adult</v>
      </c>
    </row>
    <row r="783" spans="1:15" x14ac:dyDescent="0.25">
      <c r="A783" s="1">
        <v>14957</v>
      </c>
      <c r="B783" s="1" t="s">
        <v>423</v>
      </c>
      <c r="C783" s="1" t="s">
        <v>699</v>
      </c>
      <c r="D783" s="1">
        <v>63</v>
      </c>
      <c r="E783" s="1">
        <v>22</v>
      </c>
      <c r="F783" s="1" t="s">
        <v>954</v>
      </c>
      <c r="G783" s="1" t="s">
        <v>50</v>
      </c>
      <c r="H783" s="1" t="s">
        <v>32</v>
      </c>
      <c r="I783" s="1" t="s">
        <v>18</v>
      </c>
      <c r="J783" s="1">
        <v>40</v>
      </c>
      <c r="K783" s="1" t="s">
        <v>37</v>
      </c>
      <c r="L783" s="3">
        <v>88661</v>
      </c>
      <c r="M783" s="3">
        <v>88661</v>
      </c>
      <c r="N783" s="1" t="s">
        <v>26</v>
      </c>
      <c r="O783" s="5" t="str" cm="1">
        <f t="array" ref="O783">_xlfn.IFS(Table1[[#This Row],[Age]]&lt;25,"Young",Table1[[#This Row],[Age]]&lt;45,"Adult",Table1[[#This Row],[Age]]&gt;=45,"Old")</f>
        <v>Old</v>
      </c>
    </row>
    <row r="784" spans="1:15" x14ac:dyDescent="0.25">
      <c r="A784" s="1">
        <v>6458</v>
      </c>
      <c r="B784" s="1" t="s">
        <v>293</v>
      </c>
      <c r="C784" s="1" t="s">
        <v>916</v>
      </c>
      <c r="D784" s="1">
        <v>44</v>
      </c>
      <c r="E784" s="1">
        <v>21</v>
      </c>
      <c r="F784" s="1" t="s">
        <v>954</v>
      </c>
      <c r="G784" s="1" t="s">
        <v>50</v>
      </c>
      <c r="H784" s="1" t="s">
        <v>24</v>
      </c>
      <c r="I784" s="1" t="s">
        <v>18</v>
      </c>
      <c r="J784" s="1">
        <v>32</v>
      </c>
      <c r="K784" s="1" t="s">
        <v>37</v>
      </c>
      <c r="L784" s="3">
        <v>85000</v>
      </c>
      <c r="M784" s="3">
        <v>68000</v>
      </c>
      <c r="N784" s="1" t="s">
        <v>20</v>
      </c>
      <c r="O784" s="5" t="str" cm="1">
        <f t="array" ref="O784">_xlfn.IFS(Table1[[#This Row],[Age]]&lt;25,"Young",Table1[[#This Row],[Age]]&lt;45,"Adult",Table1[[#This Row],[Age]]&gt;=45,"Old")</f>
        <v>Adult</v>
      </c>
    </row>
    <row r="785" spans="1:15" x14ac:dyDescent="0.25">
      <c r="A785" s="1">
        <v>17783</v>
      </c>
      <c r="B785" s="1" t="s">
        <v>69</v>
      </c>
      <c r="C785" s="1" t="s">
        <v>39</v>
      </c>
      <c r="D785" s="1">
        <v>47</v>
      </c>
      <c r="E785" s="1">
        <v>18</v>
      </c>
      <c r="F785" s="1" t="s">
        <v>954</v>
      </c>
      <c r="G785" s="1" t="s">
        <v>23</v>
      </c>
      <c r="H785" s="1" t="s">
        <v>192</v>
      </c>
      <c r="I785" s="1" t="s">
        <v>51</v>
      </c>
      <c r="J785" s="1">
        <v>20</v>
      </c>
      <c r="K785" s="1" t="s">
        <v>25</v>
      </c>
      <c r="L785" s="3">
        <v>98000</v>
      </c>
      <c r="M785" s="3">
        <v>49000</v>
      </c>
      <c r="N785" s="1" t="s">
        <v>29</v>
      </c>
      <c r="O785" s="5" t="str" cm="1">
        <f t="array" ref="O785">_xlfn.IFS(Table1[[#This Row],[Age]]&lt;25,"Young",Table1[[#This Row],[Age]]&lt;45,"Adult",Table1[[#This Row],[Age]]&gt;=45,"Old")</f>
        <v>Old</v>
      </c>
    </row>
    <row r="786" spans="1:15" x14ac:dyDescent="0.25">
      <c r="A786" s="1">
        <v>3895</v>
      </c>
      <c r="B786" s="1" t="s">
        <v>444</v>
      </c>
      <c r="C786" s="1" t="s">
        <v>445</v>
      </c>
      <c r="D786" s="1">
        <v>42</v>
      </c>
      <c r="E786" s="1">
        <v>1</v>
      </c>
      <c r="F786" s="1" t="s">
        <v>953</v>
      </c>
      <c r="G786" s="1" t="s">
        <v>23</v>
      </c>
      <c r="H786" s="1" t="s">
        <v>24</v>
      </c>
      <c r="I786" s="1" t="s">
        <v>18</v>
      </c>
      <c r="J786" s="1">
        <v>20</v>
      </c>
      <c r="K786" s="1" t="s">
        <v>25</v>
      </c>
      <c r="L786" s="3">
        <v>122000</v>
      </c>
      <c r="M786" s="3">
        <v>61000</v>
      </c>
      <c r="N786" s="1" t="s">
        <v>29</v>
      </c>
      <c r="O786" s="5" t="str" cm="1">
        <f t="array" ref="O786">_xlfn.IFS(Table1[[#This Row],[Age]]&lt;25,"Young",Table1[[#This Row],[Age]]&lt;45,"Adult",Table1[[#This Row],[Age]]&gt;=45,"Old")</f>
        <v>Adult</v>
      </c>
    </row>
    <row r="787" spans="1:15" x14ac:dyDescent="0.25">
      <c r="A787" s="1">
        <v>22001</v>
      </c>
      <c r="B787" s="1" t="s">
        <v>917</v>
      </c>
      <c r="C787" s="1" t="s">
        <v>520</v>
      </c>
      <c r="D787" s="1">
        <v>29</v>
      </c>
      <c r="E787" s="1">
        <v>2</v>
      </c>
      <c r="F787" s="1" t="s">
        <v>954</v>
      </c>
      <c r="G787" s="1" t="s">
        <v>50</v>
      </c>
      <c r="H787" s="1" t="s">
        <v>24</v>
      </c>
      <c r="I787" s="1" t="s">
        <v>18</v>
      </c>
      <c r="J787" s="1">
        <v>20</v>
      </c>
      <c r="K787" s="1" t="s">
        <v>25</v>
      </c>
      <c r="L787" s="3">
        <v>98000</v>
      </c>
      <c r="M787" s="3">
        <v>49000</v>
      </c>
      <c r="N787" s="1" t="s">
        <v>29</v>
      </c>
      <c r="O787" s="5" t="str" cm="1">
        <f t="array" ref="O787">_xlfn.IFS(Table1[[#This Row],[Age]]&lt;25,"Young",Table1[[#This Row],[Age]]&lt;45,"Adult",Table1[[#This Row],[Age]]&gt;=45,"Old")</f>
        <v>Adult</v>
      </c>
    </row>
    <row r="788" spans="1:15" x14ac:dyDescent="0.25">
      <c r="A788" s="1">
        <v>9537</v>
      </c>
      <c r="B788" s="1" t="s">
        <v>793</v>
      </c>
      <c r="C788" s="1" t="s">
        <v>701</v>
      </c>
      <c r="D788" s="1">
        <v>31</v>
      </c>
      <c r="E788" s="1">
        <v>0</v>
      </c>
      <c r="F788" s="1" t="s">
        <v>953</v>
      </c>
      <c r="G788" s="1" t="s">
        <v>50</v>
      </c>
      <c r="H788" s="1" t="s">
        <v>36</v>
      </c>
      <c r="I788" s="1" t="s">
        <v>18</v>
      </c>
      <c r="J788" s="1">
        <v>20</v>
      </c>
      <c r="K788" s="1" t="s">
        <v>25</v>
      </c>
      <c r="L788" s="3">
        <v>109368</v>
      </c>
      <c r="M788" s="3">
        <v>54684</v>
      </c>
      <c r="N788" s="1" t="s">
        <v>29</v>
      </c>
      <c r="O788" s="5" t="str" cm="1">
        <f t="array" ref="O788">_xlfn.IFS(Table1[[#This Row],[Age]]&lt;25,"Young",Table1[[#This Row],[Age]]&lt;45,"Adult",Table1[[#This Row],[Age]]&gt;=45,"Old")</f>
        <v>Adult</v>
      </c>
    </row>
    <row r="789" spans="1:15" x14ac:dyDescent="0.25">
      <c r="A789" s="1">
        <v>20869</v>
      </c>
      <c r="B789" s="1" t="s">
        <v>918</v>
      </c>
      <c r="C789" s="1" t="s">
        <v>99</v>
      </c>
      <c r="D789" s="1">
        <v>39</v>
      </c>
      <c r="E789" s="1">
        <v>4</v>
      </c>
      <c r="F789" s="1" t="s">
        <v>953</v>
      </c>
      <c r="G789" s="1" t="s">
        <v>23</v>
      </c>
      <c r="H789" s="1" t="s">
        <v>32</v>
      </c>
      <c r="I789" s="1" t="s">
        <v>51</v>
      </c>
      <c r="J789" s="1">
        <v>20</v>
      </c>
      <c r="K789" s="1" t="s">
        <v>42</v>
      </c>
      <c r="L789" s="3">
        <v>73440</v>
      </c>
      <c r="M789" s="3">
        <v>36720</v>
      </c>
      <c r="N789" s="1" t="s">
        <v>20</v>
      </c>
      <c r="O789" s="5" t="str" cm="1">
        <f t="array" ref="O789">_xlfn.IFS(Table1[[#This Row],[Age]]&lt;25,"Young",Table1[[#This Row],[Age]]&lt;45,"Adult",Table1[[#This Row],[Age]]&gt;=45,"Old")</f>
        <v>Adult</v>
      </c>
    </row>
    <row r="790" spans="1:15" x14ac:dyDescent="0.25">
      <c r="A790" s="1">
        <v>18321</v>
      </c>
      <c r="B790" s="1" t="s">
        <v>378</v>
      </c>
      <c r="C790" s="1" t="s">
        <v>323</v>
      </c>
      <c r="D790" s="1">
        <v>35</v>
      </c>
      <c r="E790" s="1">
        <v>12</v>
      </c>
      <c r="F790" s="1" t="s">
        <v>954</v>
      </c>
      <c r="G790" s="1" t="s">
        <v>23</v>
      </c>
      <c r="H790" s="1" t="s">
        <v>24</v>
      </c>
      <c r="I790" s="1" t="s">
        <v>18</v>
      </c>
      <c r="J790" s="1">
        <v>20</v>
      </c>
      <c r="K790" s="1" t="s">
        <v>19</v>
      </c>
      <c r="L790" s="3">
        <v>115000</v>
      </c>
      <c r="M790" s="3">
        <v>57500</v>
      </c>
      <c r="N790" s="1" t="s">
        <v>20</v>
      </c>
      <c r="O790" s="5" t="str" cm="1">
        <f t="array" ref="O790">_xlfn.IFS(Table1[[#This Row],[Age]]&lt;25,"Young",Table1[[#This Row],[Age]]&lt;45,"Adult",Table1[[#This Row],[Age]]&gt;=45,"Old")</f>
        <v>Adult</v>
      </c>
    </row>
    <row r="791" spans="1:15" x14ac:dyDescent="0.25">
      <c r="A791" s="1">
        <v>16530</v>
      </c>
      <c r="B791" s="1" t="s">
        <v>919</v>
      </c>
      <c r="C791" s="1" t="s">
        <v>920</v>
      </c>
      <c r="D791" s="1">
        <v>59</v>
      </c>
      <c r="E791" s="1">
        <v>14</v>
      </c>
      <c r="F791" s="1" t="s">
        <v>954</v>
      </c>
      <c r="G791" s="1" t="s">
        <v>35</v>
      </c>
      <c r="H791" s="1" t="s">
        <v>36</v>
      </c>
      <c r="I791" s="1" t="s">
        <v>18</v>
      </c>
      <c r="J791" s="1">
        <v>20</v>
      </c>
      <c r="K791" s="1" t="s">
        <v>37</v>
      </c>
      <c r="L791" s="3">
        <v>85000</v>
      </c>
      <c r="M791" s="3">
        <v>42500</v>
      </c>
      <c r="N791" s="1" t="s">
        <v>20</v>
      </c>
      <c r="O791" s="5" t="str" cm="1">
        <f t="array" ref="O791">_xlfn.IFS(Table1[[#This Row],[Age]]&lt;25,"Young",Table1[[#This Row],[Age]]&lt;45,"Adult",Table1[[#This Row],[Age]]&gt;=45,"Old")</f>
        <v>Old</v>
      </c>
    </row>
    <row r="792" spans="1:15" x14ac:dyDescent="0.25">
      <c r="A792" s="1">
        <v>15919</v>
      </c>
      <c r="B792" s="1" t="s">
        <v>65</v>
      </c>
      <c r="C792" s="1" t="s">
        <v>332</v>
      </c>
      <c r="D792" s="1">
        <v>29</v>
      </c>
      <c r="E792" s="1">
        <v>1</v>
      </c>
      <c r="F792" s="1" t="s">
        <v>953</v>
      </c>
      <c r="G792" s="1" t="s">
        <v>16</v>
      </c>
      <c r="H792" s="1" t="s">
        <v>24</v>
      </c>
      <c r="I792" s="1" t="s">
        <v>18</v>
      </c>
      <c r="J792" s="1">
        <v>20</v>
      </c>
      <c r="K792" s="1" t="s">
        <v>19</v>
      </c>
      <c r="L792" s="3">
        <v>124819</v>
      </c>
      <c r="M792" s="3">
        <v>62409.5</v>
      </c>
      <c r="N792" s="1" t="s">
        <v>29</v>
      </c>
      <c r="O792" s="5" t="str" cm="1">
        <f t="array" ref="O792">_xlfn.IFS(Table1[[#This Row],[Age]]&lt;25,"Young",Table1[[#This Row],[Age]]&lt;45,"Adult",Table1[[#This Row],[Age]]&gt;=45,"Old")</f>
        <v>Adult</v>
      </c>
    </row>
    <row r="793" spans="1:15" x14ac:dyDescent="0.25">
      <c r="A793" s="1">
        <v>14959</v>
      </c>
      <c r="B793" s="1" t="s">
        <v>106</v>
      </c>
      <c r="C793" s="1" t="s">
        <v>83</v>
      </c>
      <c r="D793" s="1">
        <v>49</v>
      </c>
      <c r="E793" s="1">
        <v>25</v>
      </c>
      <c r="F793" s="1" t="s">
        <v>953</v>
      </c>
      <c r="G793" s="1" t="s">
        <v>23</v>
      </c>
      <c r="H793" s="1" t="s">
        <v>24</v>
      </c>
      <c r="I793" s="1" t="s">
        <v>18</v>
      </c>
      <c r="J793" s="1">
        <v>40</v>
      </c>
      <c r="K793" s="1" t="s">
        <v>25</v>
      </c>
      <c r="L793" s="3">
        <v>119878</v>
      </c>
      <c r="M793" s="3">
        <v>149847.5</v>
      </c>
      <c r="N793" s="1" t="s">
        <v>26</v>
      </c>
      <c r="O793" s="5" t="str" cm="1">
        <f t="array" ref="O793">_xlfn.IFS(Table1[[#This Row],[Age]]&lt;25,"Young",Table1[[#This Row],[Age]]&lt;45,"Adult",Table1[[#This Row],[Age]]&gt;=45,"Old")</f>
        <v>Old</v>
      </c>
    </row>
    <row r="794" spans="1:15" x14ac:dyDescent="0.25">
      <c r="A794" s="1">
        <v>20101</v>
      </c>
      <c r="B794" s="1" t="s">
        <v>921</v>
      </c>
      <c r="C794" s="1" t="s">
        <v>922</v>
      </c>
      <c r="D794" s="1">
        <v>43</v>
      </c>
      <c r="E794" s="1">
        <v>4</v>
      </c>
      <c r="F794" s="1" t="s">
        <v>953</v>
      </c>
      <c r="G794" s="1" t="s">
        <v>35</v>
      </c>
      <c r="H794" s="1" t="s">
        <v>17</v>
      </c>
      <c r="I794" s="1" t="s">
        <v>51</v>
      </c>
      <c r="J794" s="1">
        <v>20</v>
      </c>
      <c r="K794" s="1" t="s">
        <v>25</v>
      </c>
      <c r="L794" s="3">
        <v>105840</v>
      </c>
      <c r="M794" s="3">
        <v>52920</v>
      </c>
      <c r="N794" s="1" t="s">
        <v>29</v>
      </c>
      <c r="O794" s="5" t="str" cm="1">
        <f t="array" ref="O794">_xlfn.IFS(Table1[[#This Row],[Age]]&lt;25,"Young",Table1[[#This Row],[Age]]&lt;45,"Adult",Table1[[#This Row],[Age]]&gt;=45,"Old")</f>
        <v>Adult</v>
      </c>
    </row>
    <row r="795" spans="1:15" x14ac:dyDescent="0.25">
      <c r="A795" s="1">
        <v>9481</v>
      </c>
      <c r="B795" s="1" t="s">
        <v>923</v>
      </c>
      <c r="C795" s="1" t="s">
        <v>340</v>
      </c>
      <c r="D795" s="1">
        <v>26</v>
      </c>
      <c r="E795" s="1">
        <v>8</v>
      </c>
      <c r="F795" s="1" t="s">
        <v>953</v>
      </c>
      <c r="G795" s="1" t="s">
        <v>35</v>
      </c>
      <c r="H795" s="1" t="s">
        <v>24</v>
      </c>
      <c r="I795" s="1" t="s">
        <v>18</v>
      </c>
      <c r="J795" s="1">
        <v>32</v>
      </c>
      <c r="K795" s="1" t="s">
        <v>52</v>
      </c>
      <c r="L795" s="3">
        <v>141993</v>
      </c>
      <c r="M795" s="3">
        <v>113594.4</v>
      </c>
      <c r="N795" s="1" t="s">
        <v>29</v>
      </c>
      <c r="O795" s="5" t="str" cm="1">
        <f t="array" ref="O795">_xlfn.IFS(Table1[[#This Row],[Age]]&lt;25,"Young",Table1[[#This Row],[Age]]&lt;45,"Adult",Table1[[#This Row],[Age]]&gt;=45,"Old")</f>
        <v>Adult</v>
      </c>
    </row>
    <row r="796" spans="1:15" x14ac:dyDescent="0.25">
      <c r="A796" s="1">
        <v>11248</v>
      </c>
      <c r="B796" s="1" t="s">
        <v>819</v>
      </c>
      <c r="C796" s="1" t="s">
        <v>924</v>
      </c>
      <c r="D796" s="1">
        <v>25</v>
      </c>
      <c r="E796" s="1">
        <v>3</v>
      </c>
      <c r="F796" s="1" t="s">
        <v>954</v>
      </c>
      <c r="G796" s="1" t="s">
        <v>50</v>
      </c>
      <c r="H796" s="1" t="s">
        <v>24</v>
      </c>
      <c r="I796" s="1" t="s">
        <v>18</v>
      </c>
      <c r="J796" s="1">
        <v>40</v>
      </c>
      <c r="K796" s="1" t="s">
        <v>25</v>
      </c>
      <c r="L796" s="3">
        <v>98000</v>
      </c>
      <c r="M796" s="3">
        <v>98000</v>
      </c>
      <c r="N796" s="1" t="s">
        <v>29</v>
      </c>
      <c r="O796" s="5" t="str" cm="1">
        <f t="array" ref="O796">_xlfn.IFS(Table1[[#This Row],[Age]]&lt;25,"Young",Table1[[#This Row],[Age]]&lt;45,"Adult",Table1[[#This Row],[Age]]&gt;=45,"Old")</f>
        <v>Adult</v>
      </c>
    </row>
    <row r="797" spans="1:15" x14ac:dyDescent="0.25">
      <c r="A797" s="1">
        <v>8731</v>
      </c>
      <c r="B797" s="1" t="s">
        <v>925</v>
      </c>
      <c r="C797" s="1" t="s">
        <v>22</v>
      </c>
      <c r="D797" s="1">
        <v>53</v>
      </c>
      <c r="E797" s="1">
        <v>24</v>
      </c>
      <c r="F797" s="1" t="s">
        <v>953</v>
      </c>
      <c r="G797" s="1" t="s">
        <v>23</v>
      </c>
      <c r="H797" s="1" t="s">
        <v>36</v>
      </c>
      <c r="I797" s="1" t="s">
        <v>51</v>
      </c>
      <c r="J797" s="1">
        <v>20</v>
      </c>
      <c r="K797" s="1" t="s">
        <v>42</v>
      </c>
      <c r="L797" s="3">
        <v>73440</v>
      </c>
      <c r="M797" s="3">
        <v>36720</v>
      </c>
      <c r="N797" s="1" t="s">
        <v>29</v>
      </c>
      <c r="O797" s="5" t="str" cm="1">
        <f t="array" ref="O797">_xlfn.IFS(Table1[[#This Row],[Age]]&lt;25,"Young",Table1[[#This Row],[Age]]&lt;45,"Adult",Table1[[#This Row],[Age]]&gt;=45,"Old")</f>
        <v>Old</v>
      </c>
    </row>
    <row r="798" spans="1:15" x14ac:dyDescent="0.25">
      <c r="A798" s="1">
        <v>3526</v>
      </c>
      <c r="B798" s="1" t="s">
        <v>926</v>
      </c>
      <c r="C798" s="1" t="s">
        <v>280</v>
      </c>
      <c r="D798" s="1">
        <v>43</v>
      </c>
      <c r="E798" s="1">
        <v>9</v>
      </c>
      <c r="F798" s="1" t="s">
        <v>953</v>
      </c>
      <c r="G798" s="1" t="s">
        <v>16</v>
      </c>
      <c r="H798" s="1" t="s">
        <v>64</v>
      </c>
      <c r="I798" s="1" t="s">
        <v>18</v>
      </c>
      <c r="J798" s="1">
        <v>40</v>
      </c>
      <c r="K798" s="1" t="s">
        <v>19</v>
      </c>
      <c r="L798" s="3">
        <v>132555</v>
      </c>
      <c r="M798" s="3">
        <v>132555</v>
      </c>
      <c r="N798" s="1" t="s">
        <v>26</v>
      </c>
      <c r="O798" s="5" t="str" cm="1">
        <f t="array" ref="O798">_xlfn.IFS(Table1[[#This Row],[Age]]&lt;25,"Young",Table1[[#This Row],[Age]]&lt;45,"Adult",Table1[[#This Row],[Age]]&gt;=45,"Old")</f>
        <v>Adult</v>
      </c>
    </row>
    <row r="799" spans="1:15" x14ac:dyDescent="0.25">
      <c r="A799" s="1">
        <v>9826</v>
      </c>
      <c r="B799" s="1" t="s">
        <v>70</v>
      </c>
      <c r="C799" s="1" t="s">
        <v>351</v>
      </c>
      <c r="D799" s="1">
        <v>55</v>
      </c>
      <c r="E799" s="1">
        <v>25</v>
      </c>
      <c r="F799" s="1" t="s">
        <v>953</v>
      </c>
      <c r="G799" s="1" t="s">
        <v>16</v>
      </c>
      <c r="H799" s="1" t="s">
        <v>24</v>
      </c>
      <c r="I799" s="1" t="s">
        <v>18</v>
      </c>
      <c r="J799" s="1">
        <v>40</v>
      </c>
      <c r="K799" s="1" t="s">
        <v>25</v>
      </c>
      <c r="L799" s="3">
        <v>109593</v>
      </c>
      <c r="M799" s="3">
        <v>136991.25</v>
      </c>
      <c r="N799" s="1" t="s">
        <v>29</v>
      </c>
      <c r="O799" s="5" t="str" cm="1">
        <f t="array" ref="O799">_xlfn.IFS(Table1[[#This Row],[Age]]&lt;25,"Young",Table1[[#This Row],[Age]]&lt;45,"Adult",Table1[[#This Row],[Age]]&gt;=45,"Old")</f>
        <v>Old</v>
      </c>
    </row>
    <row r="800" spans="1:15" x14ac:dyDescent="0.25">
      <c r="A800" s="1">
        <v>15458</v>
      </c>
      <c r="B800" s="1" t="s">
        <v>927</v>
      </c>
      <c r="C800" s="1" t="s">
        <v>840</v>
      </c>
      <c r="D800" s="1">
        <v>43</v>
      </c>
      <c r="E800" s="1">
        <v>4</v>
      </c>
      <c r="F800" s="1" t="s">
        <v>954</v>
      </c>
      <c r="G800" s="1" t="s">
        <v>35</v>
      </c>
      <c r="H800" s="1" t="s">
        <v>24</v>
      </c>
      <c r="I800" s="1" t="s">
        <v>18</v>
      </c>
      <c r="J800" s="1">
        <v>40</v>
      </c>
      <c r="K800" s="1" t="s">
        <v>25</v>
      </c>
      <c r="L800" s="3">
        <v>100388</v>
      </c>
      <c r="M800" s="3">
        <v>100388</v>
      </c>
      <c r="N800" s="1" t="s">
        <v>26</v>
      </c>
      <c r="O800" s="5" t="str" cm="1">
        <f t="array" ref="O800">_xlfn.IFS(Table1[[#This Row],[Age]]&lt;25,"Young",Table1[[#This Row],[Age]]&lt;45,"Adult",Table1[[#This Row],[Age]]&gt;=45,"Old")</f>
        <v>Adult</v>
      </c>
    </row>
    <row r="801" spans="1:15" x14ac:dyDescent="0.25">
      <c r="A801" s="1">
        <v>16611</v>
      </c>
      <c r="B801" s="1" t="s">
        <v>327</v>
      </c>
      <c r="C801" s="1" t="s">
        <v>328</v>
      </c>
      <c r="D801" s="1">
        <v>35</v>
      </c>
      <c r="E801" s="1">
        <v>16</v>
      </c>
      <c r="F801" s="1" t="s">
        <v>953</v>
      </c>
      <c r="G801" s="1" t="s">
        <v>23</v>
      </c>
      <c r="H801" s="1" t="s">
        <v>17</v>
      </c>
      <c r="I801" s="1" t="s">
        <v>18</v>
      </c>
      <c r="J801" s="1">
        <v>20</v>
      </c>
      <c r="K801" s="1" t="s">
        <v>25</v>
      </c>
      <c r="L801" s="3">
        <v>113606</v>
      </c>
      <c r="M801" s="3">
        <v>56803</v>
      </c>
      <c r="N801" s="1" t="s">
        <v>26</v>
      </c>
      <c r="O801" s="5" t="str" cm="1">
        <f t="array" ref="O801">_xlfn.IFS(Table1[[#This Row],[Age]]&lt;25,"Young",Table1[[#This Row],[Age]]&lt;45,"Adult",Table1[[#This Row],[Age]]&gt;=45,"Old")</f>
        <v>Adult</v>
      </c>
    </row>
    <row r="802" spans="1:15" x14ac:dyDescent="0.25">
      <c r="A802" s="1">
        <v>8677</v>
      </c>
      <c r="B802" s="1" t="s">
        <v>928</v>
      </c>
      <c r="C802" s="1" t="s">
        <v>405</v>
      </c>
      <c r="D802" s="1">
        <v>39</v>
      </c>
      <c r="E802" s="1">
        <v>8</v>
      </c>
      <c r="F802" s="1" t="s">
        <v>954</v>
      </c>
      <c r="G802" s="1" t="s">
        <v>45</v>
      </c>
      <c r="H802" s="1" t="s">
        <v>32</v>
      </c>
      <c r="I802" s="1" t="s">
        <v>18</v>
      </c>
      <c r="J802" s="1">
        <v>40</v>
      </c>
      <c r="K802" s="1" t="s">
        <v>37</v>
      </c>
      <c r="L802" s="3">
        <v>87902</v>
      </c>
      <c r="M802" s="3">
        <v>87902</v>
      </c>
      <c r="N802" s="1" t="s">
        <v>29</v>
      </c>
      <c r="O802" s="5" t="str" cm="1">
        <f t="array" ref="O802">_xlfn.IFS(Table1[[#This Row],[Age]]&lt;25,"Young",Table1[[#This Row],[Age]]&lt;45,"Adult",Table1[[#This Row],[Age]]&gt;=45,"Old")</f>
        <v>Adult</v>
      </c>
    </row>
    <row r="803" spans="1:15" x14ac:dyDescent="0.25">
      <c r="A803" s="1">
        <v>15914</v>
      </c>
      <c r="B803" s="1" t="s">
        <v>929</v>
      </c>
      <c r="C803" s="1" t="s">
        <v>930</v>
      </c>
      <c r="D803" s="1">
        <v>55</v>
      </c>
      <c r="E803" s="1">
        <v>13</v>
      </c>
      <c r="F803" s="1" t="s">
        <v>954</v>
      </c>
      <c r="G803" s="1" t="s">
        <v>23</v>
      </c>
      <c r="H803" s="1" t="s">
        <v>32</v>
      </c>
      <c r="I803" s="1" t="s">
        <v>18</v>
      </c>
      <c r="J803" s="1">
        <v>20</v>
      </c>
      <c r="K803" s="1" t="s">
        <v>42</v>
      </c>
      <c r="L803" s="3">
        <v>68000</v>
      </c>
      <c r="M803" s="3">
        <v>34000</v>
      </c>
      <c r="N803" s="1" t="s">
        <v>20</v>
      </c>
      <c r="O803" s="5" t="str" cm="1">
        <f t="array" ref="O803">_xlfn.IFS(Table1[[#This Row],[Age]]&lt;25,"Young",Table1[[#This Row],[Age]]&lt;45,"Adult",Table1[[#This Row],[Age]]&gt;=45,"Old")</f>
        <v>Old</v>
      </c>
    </row>
    <row r="804" spans="1:15" x14ac:dyDescent="0.25">
      <c r="A804" s="1">
        <v>19359</v>
      </c>
      <c r="B804" s="1" t="s">
        <v>596</v>
      </c>
      <c r="C804" s="1" t="s">
        <v>931</v>
      </c>
      <c r="D804" s="1">
        <v>44</v>
      </c>
      <c r="E804" s="1">
        <v>8</v>
      </c>
      <c r="F804" s="1" t="s">
        <v>953</v>
      </c>
      <c r="G804" s="1" t="s">
        <v>35</v>
      </c>
      <c r="H804" s="1" t="s">
        <v>32</v>
      </c>
      <c r="I804" s="1" t="s">
        <v>18</v>
      </c>
      <c r="J804" s="1">
        <v>40</v>
      </c>
      <c r="K804" s="1" t="s">
        <v>25</v>
      </c>
      <c r="L804" s="3">
        <v>122000</v>
      </c>
      <c r="M804" s="3">
        <v>122000</v>
      </c>
      <c r="N804" s="1" t="s">
        <v>26</v>
      </c>
      <c r="O804" s="5" t="str" cm="1">
        <f t="array" ref="O804">_xlfn.IFS(Table1[[#This Row],[Age]]&lt;25,"Young",Table1[[#This Row],[Age]]&lt;45,"Adult",Table1[[#This Row],[Age]]&gt;=45,"Old")</f>
        <v>Adult</v>
      </c>
    </row>
    <row r="805" spans="1:15" x14ac:dyDescent="0.25">
      <c r="A805" s="1">
        <v>20686</v>
      </c>
      <c r="B805" s="1" t="s">
        <v>932</v>
      </c>
      <c r="C805" s="1" t="s">
        <v>737</v>
      </c>
      <c r="D805" s="1">
        <v>43</v>
      </c>
      <c r="E805" s="1">
        <v>21</v>
      </c>
      <c r="F805" s="1" t="s">
        <v>953</v>
      </c>
      <c r="G805" s="1" t="s">
        <v>35</v>
      </c>
      <c r="H805" s="1" t="s">
        <v>24</v>
      </c>
      <c r="I805" s="1" t="s">
        <v>18</v>
      </c>
      <c r="J805" s="1">
        <v>20</v>
      </c>
      <c r="K805" s="1" t="s">
        <v>19</v>
      </c>
      <c r="L805" s="3">
        <v>124200</v>
      </c>
      <c r="M805" s="3">
        <v>62100</v>
      </c>
      <c r="N805" s="1" t="s">
        <v>29</v>
      </c>
      <c r="O805" s="5" t="str" cm="1">
        <f t="array" ref="O805">_xlfn.IFS(Table1[[#This Row],[Age]]&lt;25,"Young",Table1[[#This Row],[Age]]&lt;45,"Adult",Table1[[#This Row],[Age]]&gt;=45,"Old")</f>
        <v>Adult</v>
      </c>
    </row>
    <row r="806" spans="1:15" x14ac:dyDescent="0.25">
      <c r="A806" s="1">
        <v>22582</v>
      </c>
      <c r="B806" s="1" t="s">
        <v>933</v>
      </c>
      <c r="C806" s="1" t="s">
        <v>300</v>
      </c>
      <c r="D806" s="1">
        <v>26</v>
      </c>
      <c r="E806" s="1">
        <v>4</v>
      </c>
      <c r="F806" s="1" t="s">
        <v>954</v>
      </c>
      <c r="G806" s="1" t="s">
        <v>16</v>
      </c>
      <c r="H806" s="1" t="s">
        <v>24</v>
      </c>
      <c r="I806" s="1" t="s">
        <v>18</v>
      </c>
      <c r="J806" s="1">
        <v>40</v>
      </c>
      <c r="K806" s="1" t="s">
        <v>25</v>
      </c>
      <c r="L806" s="3">
        <v>98000</v>
      </c>
      <c r="M806" s="3">
        <v>98000</v>
      </c>
      <c r="N806" s="1" t="s">
        <v>20</v>
      </c>
      <c r="O806" s="5" t="str" cm="1">
        <f t="array" ref="O806">_xlfn.IFS(Table1[[#This Row],[Age]]&lt;25,"Young",Table1[[#This Row],[Age]]&lt;45,"Adult",Table1[[#This Row],[Age]]&gt;=45,"Old")</f>
        <v>Adult</v>
      </c>
    </row>
    <row r="807" spans="1:15" x14ac:dyDescent="0.25">
      <c r="A807" s="1">
        <v>10599</v>
      </c>
      <c r="B807" s="1" t="s">
        <v>182</v>
      </c>
      <c r="C807" s="1" t="s">
        <v>183</v>
      </c>
      <c r="D807" s="1">
        <v>46</v>
      </c>
      <c r="E807" s="1">
        <v>10</v>
      </c>
      <c r="F807" s="1" t="s">
        <v>953</v>
      </c>
      <c r="G807" s="1" t="s">
        <v>23</v>
      </c>
      <c r="H807" s="1" t="s">
        <v>24</v>
      </c>
      <c r="I807" s="1" t="s">
        <v>18</v>
      </c>
      <c r="J807" s="1">
        <v>20</v>
      </c>
      <c r="K807" s="1" t="s">
        <v>25</v>
      </c>
      <c r="L807" s="3">
        <v>122000</v>
      </c>
      <c r="M807" s="3">
        <v>61000</v>
      </c>
      <c r="N807" s="1" t="s">
        <v>26</v>
      </c>
      <c r="O807" s="5" t="str" cm="1">
        <f t="array" ref="O807">_xlfn.IFS(Table1[[#This Row],[Age]]&lt;25,"Young",Table1[[#This Row],[Age]]&lt;45,"Adult",Table1[[#This Row],[Age]]&gt;=45,"Old")</f>
        <v>Old</v>
      </c>
    </row>
    <row r="808" spans="1:15" x14ac:dyDescent="0.25">
      <c r="A808" s="1">
        <v>11710</v>
      </c>
      <c r="B808" s="1" t="s">
        <v>162</v>
      </c>
      <c r="C808" s="1" t="s">
        <v>934</v>
      </c>
      <c r="D808" s="1">
        <v>45</v>
      </c>
      <c r="E808" s="1">
        <v>8</v>
      </c>
      <c r="F808" s="1" t="s">
        <v>953</v>
      </c>
      <c r="G808" s="1" t="s">
        <v>23</v>
      </c>
      <c r="H808" s="1" t="s">
        <v>24</v>
      </c>
      <c r="I808" s="1" t="s">
        <v>18</v>
      </c>
      <c r="J808" s="1">
        <v>40</v>
      </c>
      <c r="K808" s="1" t="s">
        <v>37</v>
      </c>
      <c r="L808" s="3">
        <v>103621</v>
      </c>
      <c r="M808" s="3">
        <v>103621</v>
      </c>
      <c r="N808" s="1" t="s">
        <v>26</v>
      </c>
      <c r="O808" s="5" t="str" cm="1">
        <f t="array" ref="O808">_xlfn.IFS(Table1[[#This Row],[Age]]&lt;25,"Young",Table1[[#This Row],[Age]]&lt;45,"Adult",Table1[[#This Row],[Age]]&gt;=45,"Old")</f>
        <v>Old</v>
      </c>
    </row>
    <row r="809" spans="1:15" x14ac:dyDescent="0.25">
      <c r="A809" s="1">
        <v>1627</v>
      </c>
      <c r="B809" s="1" t="s">
        <v>778</v>
      </c>
      <c r="C809" s="1" t="s">
        <v>246</v>
      </c>
      <c r="D809" s="1">
        <v>59</v>
      </c>
      <c r="E809" s="1">
        <v>12</v>
      </c>
      <c r="F809" s="1" t="s">
        <v>953</v>
      </c>
      <c r="G809" s="1" t="s">
        <v>50</v>
      </c>
      <c r="H809" s="1" t="s">
        <v>24</v>
      </c>
      <c r="I809" s="1" t="s">
        <v>18</v>
      </c>
      <c r="J809" s="1">
        <v>40</v>
      </c>
      <c r="K809" s="1" t="s">
        <v>37</v>
      </c>
      <c r="L809" s="3">
        <v>95082</v>
      </c>
      <c r="M809" s="3">
        <v>95082</v>
      </c>
      <c r="N809" s="1" t="s">
        <v>29</v>
      </c>
      <c r="O809" s="5" t="str" cm="1">
        <f t="array" ref="O809">_xlfn.IFS(Table1[[#This Row],[Age]]&lt;25,"Young",Table1[[#This Row],[Age]]&lt;45,"Adult",Table1[[#This Row],[Age]]&gt;=45,"Old")</f>
        <v>Old</v>
      </c>
    </row>
    <row r="810" spans="1:15" x14ac:dyDescent="0.25">
      <c r="A810" s="1">
        <v>13743</v>
      </c>
      <c r="B810" s="1" t="s">
        <v>187</v>
      </c>
      <c r="C810" s="1" t="s">
        <v>118</v>
      </c>
      <c r="D810" s="1">
        <v>28</v>
      </c>
      <c r="E810" s="1">
        <v>8</v>
      </c>
      <c r="F810" s="1" t="s">
        <v>954</v>
      </c>
      <c r="G810" s="1" t="s">
        <v>50</v>
      </c>
      <c r="H810" s="1" t="s">
        <v>17</v>
      </c>
      <c r="I810" s="1" t="s">
        <v>18</v>
      </c>
      <c r="J810" s="1">
        <v>20</v>
      </c>
      <c r="K810" s="1" t="s">
        <v>25</v>
      </c>
      <c r="L810" s="3">
        <v>100990</v>
      </c>
      <c r="M810" s="3">
        <v>50495</v>
      </c>
      <c r="N810" s="1" t="s">
        <v>26</v>
      </c>
      <c r="O810" s="5" t="str" cm="1">
        <f t="array" ref="O810">_xlfn.IFS(Table1[[#This Row],[Age]]&lt;25,"Young",Table1[[#This Row],[Age]]&lt;45,"Adult",Table1[[#This Row],[Age]]&gt;=45,"Old")</f>
        <v>Adult</v>
      </c>
    </row>
    <row r="811" spans="1:15" x14ac:dyDescent="0.25">
      <c r="A811" s="1">
        <v>16884</v>
      </c>
      <c r="B811" s="1" t="s">
        <v>935</v>
      </c>
      <c r="C811" s="1" t="s">
        <v>373</v>
      </c>
      <c r="D811" s="1">
        <v>25</v>
      </c>
      <c r="E811" s="1">
        <v>2</v>
      </c>
      <c r="F811" s="1" t="s">
        <v>954</v>
      </c>
      <c r="G811" s="1" t="s">
        <v>23</v>
      </c>
      <c r="H811" s="1" t="s">
        <v>32</v>
      </c>
      <c r="I811" s="1" t="s">
        <v>18</v>
      </c>
      <c r="J811" s="1">
        <v>20</v>
      </c>
      <c r="K811" s="1" t="s">
        <v>42</v>
      </c>
      <c r="L811" s="3">
        <v>68874</v>
      </c>
      <c r="M811" s="3">
        <v>34437</v>
      </c>
      <c r="N811" s="1" t="s">
        <v>20</v>
      </c>
      <c r="O811" s="5" t="str" cm="1">
        <f t="array" ref="O811">_xlfn.IFS(Table1[[#This Row],[Age]]&lt;25,"Young",Table1[[#This Row],[Age]]&lt;45,"Adult",Table1[[#This Row],[Age]]&gt;=45,"Old")</f>
        <v>Adult</v>
      </c>
    </row>
    <row r="812" spans="1:15" x14ac:dyDescent="0.25">
      <c r="A812" s="1">
        <v>11337</v>
      </c>
      <c r="B812" s="1" t="s">
        <v>492</v>
      </c>
      <c r="C812" s="1" t="s">
        <v>360</v>
      </c>
      <c r="D812" s="1">
        <v>39</v>
      </c>
      <c r="E812" s="1">
        <v>8</v>
      </c>
      <c r="F812" s="1" t="s">
        <v>953</v>
      </c>
      <c r="G812" s="1" t="s">
        <v>45</v>
      </c>
      <c r="H812" s="1" t="s">
        <v>32</v>
      </c>
      <c r="I812" s="1" t="s">
        <v>18</v>
      </c>
      <c r="J812" s="1">
        <v>40</v>
      </c>
      <c r="K812" s="1" t="s">
        <v>37</v>
      </c>
      <c r="L812" s="3">
        <v>102577</v>
      </c>
      <c r="M812" s="3">
        <v>102577</v>
      </c>
      <c r="N812" s="1" t="s">
        <v>26</v>
      </c>
      <c r="O812" s="5" t="str" cm="1">
        <f t="array" ref="O812">_xlfn.IFS(Table1[[#This Row],[Age]]&lt;25,"Young",Table1[[#This Row],[Age]]&lt;45,"Adult",Table1[[#This Row],[Age]]&gt;=45,"Old")</f>
        <v>Adult</v>
      </c>
    </row>
    <row r="813" spans="1:15" x14ac:dyDescent="0.25">
      <c r="A813" s="1">
        <v>6645</v>
      </c>
      <c r="B813" s="1" t="s">
        <v>70</v>
      </c>
      <c r="C813" s="1" t="s">
        <v>266</v>
      </c>
      <c r="D813" s="1">
        <v>49</v>
      </c>
      <c r="E813" s="1">
        <v>2</v>
      </c>
      <c r="F813" s="1" t="s">
        <v>953</v>
      </c>
      <c r="G813" s="1" t="s">
        <v>16</v>
      </c>
      <c r="H813" s="1" t="s">
        <v>36</v>
      </c>
      <c r="I813" s="1" t="s">
        <v>18</v>
      </c>
      <c r="J813" s="1">
        <v>40</v>
      </c>
      <c r="K813" s="1" t="s">
        <v>25</v>
      </c>
      <c r="L813" s="3">
        <v>112788</v>
      </c>
      <c r="M813" s="3">
        <v>112788</v>
      </c>
      <c r="N813" s="1" t="s">
        <v>26</v>
      </c>
      <c r="O813" s="5" t="str" cm="1">
        <f t="array" ref="O813">_xlfn.IFS(Table1[[#This Row],[Age]]&lt;25,"Young",Table1[[#This Row],[Age]]&lt;45,"Adult",Table1[[#This Row],[Age]]&gt;=45,"Old")</f>
        <v>Old</v>
      </c>
    </row>
    <row r="814" spans="1:15" x14ac:dyDescent="0.25">
      <c r="A814" s="1">
        <v>16663</v>
      </c>
      <c r="B814" s="1" t="s">
        <v>936</v>
      </c>
      <c r="C814" s="1" t="s">
        <v>937</v>
      </c>
      <c r="D814" s="1">
        <v>27</v>
      </c>
      <c r="E814" s="1">
        <v>7</v>
      </c>
      <c r="F814" s="1" t="s">
        <v>953</v>
      </c>
      <c r="G814" s="1" t="s">
        <v>23</v>
      </c>
      <c r="H814" s="1" t="s">
        <v>32</v>
      </c>
      <c r="I814" s="1" t="s">
        <v>18</v>
      </c>
      <c r="J814" s="1">
        <v>20</v>
      </c>
      <c r="K814" s="1" t="s">
        <v>25</v>
      </c>
      <c r="L814" s="3">
        <v>107404</v>
      </c>
      <c r="M814" s="3">
        <v>53702</v>
      </c>
      <c r="N814" s="1" t="s">
        <v>29</v>
      </c>
      <c r="O814" s="5" t="str" cm="1">
        <f t="array" ref="O814">_xlfn.IFS(Table1[[#This Row],[Age]]&lt;25,"Young",Table1[[#This Row],[Age]]&lt;45,"Adult",Table1[[#This Row],[Age]]&gt;=45,"Old")</f>
        <v>Adult</v>
      </c>
    </row>
    <row r="815" spans="1:15" x14ac:dyDescent="0.25">
      <c r="A815" s="1">
        <v>7637</v>
      </c>
      <c r="B815" s="1" t="s">
        <v>159</v>
      </c>
      <c r="C815" s="1" t="s">
        <v>365</v>
      </c>
      <c r="D815" s="1">
        <v>38</v>
      </c>
      <c r="E815" s="1">
        <v>6</v>
      </c>
      <c r="F815" s="1" t="s">
        <v>953</v>
      </c>
      <c r="G815" s="1" t="s">
        <v>45</v>
      </c>
      <c r="H815" s="1" t="s">
        <v>36</v>
      </c>
      <c r="I815" s="1" t="s">
        <v>18</v>
      </c>
      <c r="J815" s="1">
        <v>32</v>
      </c>
      <c r="K815" s="1" t="s">
        <v>37</v>
      </c>
      <c r="L815" s="3">
        <v>91800</v>
      </c>
      <c r="M815" s="3">
        <v>73440</v>
      </c>
      <c r="N815" s="1" t="s">
        <v>20</v>
      </c>
      <c r="O815" s="5" t="str" cm="1">
        <f t="array" ref="O815">_xlfn.IFS(Table1[[#This Row],[Age]]&lt;25,"Young",Table1[[#This Row],[Age]]&lt;45,"Adult",Table1[[#This Row],[Age]]&gt;=45,"Old")</f>
        <v>Adult</v>
      </c>
    </row>
    <row r="816" spans="1:15" x14ac:dyDescent="0.25">
      <c r="A816" s="1">
        <v>12313</v>
      </c>
      <c r="B816" s="1" t="s">
        <v>833</v>
      </c>
      <c r="C816" s="1" t="s">
        <v>938</v>
      </c>
      <c r="D816" s="1">
        <v>42</v>
      </c>
      <c r="E816" s="1">
        <v>12</v>
      </c>
      <c r="F816" s="1" t="s">
        <v>953</v>
      </c>
      <c r="G816" s="1" t="s">
        <v>50</v>
      </c>
      <c r="H816" s="1" t="s">
        <v>36</v>
      </c>
      <c r="I816" s="1" t="s">
        <v>51</v>
      </c>
      <c r="J816" s="1">
        <v>16</v>
      </c>
      <c r="K816" s="1" t="s">
        <v>42</v>
      </c>
      <c r="L816" s="3">
        <v>73440</v>
      </c>
      <c r="M816" s="3">
        <v>29376</v>
      </c>
      <c r="N816" s="1" t="s">
        <v>20</v>
      </c>
      <c r="O816" s="5" t="str" cm="1">
        <f t="array" ref="O816">_xlfn.IFS(Table1[[#This Row],[Age]]&lt;25,"Young",Table1[[#This Row],[Age]]&lt;45,"Adult",Table1[[#This Row],[Age]]&gt;=45,"Old")</f>
        <v>Adult</v>
      </c>
    </row>
    <row r="817" spans="1:15" x14ac:dyDescent="0.25">
      <c r="A817" s="1">
        <v>9152</v>
      </c>
      <c r="B817" s="1" t="s">
        <v>939</v>
      </c>
      <c r="C817" s="1" t="s">
        <v>113</v>
      </c>
      <c r="D817" s="1">
        <v>27</v>
      </c>
      <c r="E817" s="1">
        <v>2</v>
      </c>
      <c r="F817" s="1" t="s">
        <v>954</v>
      </c>
      <c r="G817" s="1" t="s">
        <v>16</v>
      </c>
      <c r="H817" s="1" t="s">
        <v>32</v>
      </c>
      <c r="I817" s="1" t="s">
        <v>18</v>
      </c>
      <c r="J817" s="1">
        <v>40</v>
      </c>
      <c r="K817" s="1" t="s">
        <v>37</v>
      </c>
      <c r="L817" s="3">
        <v>85000</v>
      </c>
      <c r="M817" s="3">
        <v>85000</v>
      </c>
      <c r="N817" s="1" t="s">
        <v>29</v>
      </c>
      <c r="O817" s="5" t="str" cm="1">
        <f t="array" ref="O817">_xlfn.IFS(Table1[[#This Row],[Age]]&lt;25,"Young",Table1[[#This Row],[Age]]&lt;45,"Adult",Table1[[#This Row],[Age]]&gt;=45,"Old")</f>
        <v>Adult</v>
      </c>
    </row>
    <row r="818" spans="1:15" x14ac:dyDescent="0.25">
      <c r="A818" s="1">
        <v>11839</v>
      </c>
      <c r="B818" s="1" t="s">
        <v>38</v>
      </c>
      <c r="C818" s="1" t="s">
        <v>566</v>
      </c>
      <c r="D818" s="1">
        <v>51</v>
      </c>
      <c r="E818" s="1">
        <v>32</v>
      </c>
      <c r="F818" s="1" t="s">
        <v>954</v>
      </c>
      <c r="G818" s="1" t="s">
        <v>50</v>
      </c>
      <c r="H818" s="1" t="s">
        <v>64</v>
      </c>
      <c r="I818" s="1" t="s">
        <v>18</v>
      </c>
      <c r="J818" s="1">
        <v>20</v>
      </c>
      <c r="K818" s="1" t="s">
        <v>19</v>
      </c>
      <c r="L818" s="3">
        <v>115000</v>
      </c>
      <c r="M818" s="3">
        <v>57500</v>
      </c>
      <c r="N818" s="1" t="s">
        <v>20</v>
      </c>
      <c r="O818" s="5" t="str" cm="1">
        <f t="array" ref="O818">_xlfn.IFS(Table1[[#This Row],[Age]]&lt;25,"Young",Table1[[#This Row],[Age]]&lt;45,"Adult",Table1[[#This Row],[Age]]&gt;=45,"Old")</f>
        <v>Old</v>
      </c>
    </row>
    <row r="819" spans="1:15" x14ac:dyDescent="0.25">
      <c r="A819" s="1">
        <v>9850</v>
      </c>
      <c r="B819" s="1" t="s">
        <v>310</v>
      </c>
      <c r="C819" s="1" t="s">
        <v>782</v>
      </c>
      <c r="D819" s="1">
        <v>43</v>
      </c>
      <c r="E819" s="1">
        <v>17</v>
      </c>
      <c r="F819" s="1" t="s">
        <v>953</v>
      </c>
      <c r="G819" s="1" t="s">
        <v>16</v>
      </c>
      <c r="H819" s="1" t="s">
        <v>32</v>
      </c>
      <c r="I819" s="1" t="s">
        <v>18</v>
      </c>
      <c r="J819" s="1">
        <v>40</v>
      </c>
      <c r="K819" s="1" t="s">
        <v>42</v>
      </c>
      <c r="L819" s="3">
        <v>77967</v>
      </c>
      <c r="M819" s="3">
        <v>77967</v>
      </c>
      <c r="N819" s="1" t="s">
        <v>20</v>
      </c>
      <c r="O819" s="5" t="str" cm="1">
        <f t="array" ref="O819">_xlfn.IFS(Table1[[#This Row],[Age]]&lt;25,"Young",Table1[[#This Row],[Age]]&lt;45,"Adult",Table1[[#This Row],[Age]]&gt;=45,"Old")</f>
        <v>Adult</v>
      </c>
    </row>
    <row r="820" spans="1:15" x14ac:dyDescent="0.25">
      <c r="A820" s="1">
        <v>20221</v>
      </c>
      <c r="B820" s="1" t="s">
        <v>195</v>
      </c>
      <c r="C820" s="1" t="s">
        <v>940</v>
      </c>
      <c r="D820" s="1">
        <v>36</v>
      </c>
      <c r="E820" s="1">
        <v>18</v>
      </c>
      <c r="F820" s="1" t="s">
        <v>953</v>
      </c>
      <c r="G820" s="1" t="s">
        <v>45</v>
      </c>
      <c r="H820" s="1" t="s">
        <v>17</v>
      </c>
      <c r="I820" s="1" t="s">
        <v>18</v>
      </c>
      <c r="J820" s="1">
        <v>20</v>
      </c>
      <c r="K820" s="1" t="s">
        <v>25</v>
      </c>
      <c r="L820" s="3">
        <v>111576</v>
      </c>
      <c r="M820" s="3">
        <v>55788</v>
      </c>
      <c r="N820" s="1" t="s">
        <v>29</v>
      </c>
      <c r="O820" s="5" t="str" cm="1">
        <f t="array" ref="O820">_xlfn.IFS(Table1[[#This Row],[Age]]&lt;25,"Young",Table1[[#This Row],[Age]]&lt;45,"Adult",Table1[[#This Row],[Age]]&gt;=45,"Old")</f>
        <v>Adult</v>
      </c>
    </row>
    <row r="821" spans="1:15" x14ac:dyDescent="0.25">
      <c r="A821" s="1">
        <v>9739</v>
      </c>
      <c r="B821" s="1" t="s">
        <v>106</v>
      </c>
      <c r="C821" s="1" t="s">
        <v>941</v>
      </c>
      <c r="D821" s="1">
        <v>35</v>
      </c>
      <c r="E821" s="1">
        <v>11</v>
      </c>
      <c r="F821" s="1" t="s">
        <v>953</v>
      </c>
      <c r="G821" s="1" t="s">
        <v>35</v>
      </c>
      <c r="H821" s="1" t="s">
        <v>36</v>
      </c>
      <c r="I821" s="1" t="s">
        <v>18</v>
      </c>
      <c r="J821" s="1">
        <v>8</v>
      </c>
      <c r="K821" s="1" t="s">
        <v>42</v>
      </c>
      <c r="L821" s="3">
        <v>73440</v>
      </c>
      <c r="M821" s="3">
        <v>14688</v>
      </c>
      <c r="N821" s="1" t="s">
        <v>26</v>
      </c>
      <c r="O821" s="5" t="str" cm="1">
        <f t="array" ref="O821">_xlfn.IFS(Table1[[#This Row],[Age]]&lt;25,"Young",Table1[[#This Row],[Age]]&lt;45,"Adult",Table1[[#This Row],[Age]]&gt;=45,"Old")</f>
        <v>Adult</v>
      </c>
    </row>
    <row r="822" spans="1:15" x14ac:dyDescent="0.25">
      <c r="A822" s="1">
        <v>20221</v>
      </c>
      <c r="B822" s="1" t="s">
        <v>195</v>
      </c>
      <c r="C822" s="1" t="s">
        <v>940</v>
      </c>
      <c r="D822" s="1">
        <v>36</v>
      </c>
      <c r="E822" s="1">
        <v>18</v>
      </c>
      <c r="F822" s="1" t="s">
        <v>953</v>
      </c>
      <c r="G822" s="1" t="s">
        <v>45</v>
      </c>
      <c r="H822" s="1" t="s">
        <v>24</v>
      </c>
      <c r="I822" s="1" t="s">
        <v>18</v>
      </c>
      <c r="J822" s="1">
        <v>20</v>
      </c>
      <c r="K822" s="1" t="s">
        <v>25</v>
      </c>
      <c r="L822" s="3">
        <v>111576</v>
      </c>
      <c r="M822" s="3">
        <v>55788</v>
      </c>
      <c r="N822" s="1" t="s">
        <v>29</v>
      </c>
      <c r="O822" s="5" t="str" cm="1">
        <f t="array" ref="O822">_xlfn.IFS(Table1[[#This Row],[Age]]&lt;25,"Young",Table1[[#This Row],[Age]]&lt;45,"Adult",Table1[[#This Row],[Age]]&gt;=45,"Old")</f>
        <v>Adult</v>
      </c>
    </row>
    <row r="823" spans="1:15" x14ac:dyDescent="0.25">
      <c r="A823" s="1">
        <v>18899</v>
      </c>
      <c r="B823" s="1" t="s">
        <v>767</v>
      </c>
      <c r="C823" s="1" t="s">
        <v>49</v>
      </c>
      <c r="D823" s="1">
        <v>43</v>
      </c>
      <c r="E823" s="1">
        <v>13</v>
      </c>
      <c r="F823" s="1" t="s">
        <v>954</v>
      </c>
      <c r="G823" s="1" t="s">
        <v>16</v>
      </c>
      <c r="H823" s="1" t="s">
        <v>32</v>
      </c>
      <c r="I823" s="1" t="s">
        <v>51</v>
      </c>
      <c r="J823" s="1">
        <v>40</v>
      </c>
      <c r="K823" s="1" t="s">
        <v>42</v>
      </c>
      <c r="L823" s="3">
        <v>68000</v>
      </c>
      <c r="M823" s="3">
        <v>68000</v>
      </c>
      <c r="N823" s="1" t="s">
        <v>20</v>
      </c>
      <c r="O823" s="5" t="str" cm="1">
        <f t="array" ref="O823">_xlfn.IFS(Table1[[#This Row],[Age]]&lt;25,"Young",Table1[[#This Row],[Age]]&lt;45,"Adult",Table1[[#This Row],[Age]]&gt;=45,"Old")</f>
        <v>Adult</v>
      </c>
    </row>
    <row r="824" spans="1:15" x14ac:dyDescent="0.25">
      <c r="A824" s="1">
        <v>1019</v>
      </c>
      <c r="B824" s="1" t="s">
        <v>175</v>
      </c>
      <c r="C824" s="1" t="s">
        <v>654</v>
      </c>
      <c r="D824" s="1">
        <v>28</v>
      </c>
      <c r="E824" s="1">
        <v>1</v>
      </c>
      <c r="F824" s="1" t="s">
        <v>953</v>
      </c>
      <c r="G824" s="1" t="s">
        <v>16</v>
      </c>
      <c r="H824" s="1" t="s">
        <v>32</v>
      </c>
      <c r="I824" s="1" t="s">
        <v>18</v>
      </c>
      <c r="J824" s="1">
        <v>40</v>
      </c>
      <c r="K824" s="1" t="s">
        <v>42</v>
      </c>
      <c r="L824" s="3">
        <v>81341</v>
      </c>
      <c r="M824" s="3">
        <v>81341</v>
      </c>
      <c r="N824" s="1" t="s">
        <v>26</v>
      </c>
      <c r="O824" s="5" t="str" cm="1">
        <f t="array" ref="O824">_xlfn.IFS(Table1[[#This Row],[Age]]&lt;25,"Young",Table1[[#This Row],[Age]]&lt;45,"Adult",Table1[[#This Row],[Age]]&gt;=45,"Old")</f>
        <v>Adult</v>
      </c>
    </row>
    <row r="825" spans="1:15" x14ac:dyDescent="0.25">
      <c r="A825" s="1">
        <v>17615</v>
      </c>
      <c r="B825" s="1" t="s">
        <v>942</v>
      </c>
      <c r="C825" s="1" t="s">
        <v>943</v>
      </c>
      <c r="D825" s="1">
        <v>37</v>
      </c>
      <c r="E825" s="1">
        <v>14</v>
      </c>
      <c r="F825" s="1" t="s">
        <v>953</v>
      </c>
      <c r="G825" s="1" t="s">
        <v>23</v>
      </c>
      <c r="H825" s="1" t="s">
        <v>24</v>
      </c>
      <c r="I825" s="1" t="s">
        <v>18</v>
      </c>
      <c r="J825" s="1">
        <v>40</v>
      </c>
      <c r="K825" s="1" t="s">
        <v>25</v>
      </c>
      <c r="L825" s="3">
        <v>112109</v>
      </c>
      <c r="M825" s="3">
        <v>112109</v>
      </c>
      <c r="N825" s="1" t="s">
        <v>29</v>
      </c>
      <c r="O825" s="5" t="str" cm="1">
        <f t="array" ref="O825">_xlfn.IFS(Table1[[#This Row],[Age]]&lt;25,"Young",Table1[[#This Row],[Age]]&lt;45,"Adult",Table1[[#This Row],[Age]]&gt;=45,"Old")</f>
        <v>Adult</v>
      </c>
    </row>
    <row r="826" spans="1:15" x14ac:dyDescent="0.25">
      <c r="A826" s="1">
        <v>6947</v>
      </c>
      <c r="B826" s="1" t="s">
        <v>370</v>
      </c>
      <c r="C826" s="1" t="s">
        <v>816</v>
      </c>
      <c r="D826" s="1">
        <v>52</v>
      </c>
      <c r="E826" s="1">
        <v>29</v>
      </c>
      <c r="F826" s="1" t="s">
        <v>953</v>
      </c>
      <c r="G826" s="1" t="s">
        <v>45</v>
      </c>
      <c r="H826" s="1" t="s">
        <v>36</v>
      </c>
      <c r="I826" s="1" t="s">
        <v>18</v>
      </c>
      <c r="J826" s="1">
        <v>40</v>
      </c>
      <c r="K826" s="1" t="s">
        <v>25</v>
      </c>
      <c r="L826" s="3">
        <v>107773</v>
      </c>
      <c r="M826" s="3">
        <v>107773</v>
      </c>
      <c r="N826" s="1" t="s">
        <v>29</v>
      </c>
      <c r="O826" s="5" t="str" cm="1">
        <f t="array" ref="O826">_xlfn.IFS(Table1[[#This Row],[Age]]&lt;25,"Young",Table1[[#This Row],[Age]]&lt;45,"Adult",Table1[[#This Row],[Age]]&gt;=45,"Old")</f>
        <v>Old</v>
      </c>
    </row>
    <row r="827" spans="1:15" x14ac:dyDescent="0.25">
      <c r="A827" s="1">
        <v>3492</v>
      </c>
      <c r="B827" s="1" t="s">
        <v>944</v>
      </c>
      <c r="C827" s="1" t="s">
        <v>831</v>
      </c>
      <c r="D827" s="1">
        <v>37</v>
      </c>
      <c r="E827" s="1">
        <v>9</v>
      </c>
      <c r="F827" s="1" t="s">
        <v>954</v>
      </c>
      <c r="G827" s="1" t="s">
        <v>35</v>
      </c>
      <c r="H827" s="1" t="s">
        <v>32</v>
      </c>
      <c r="I827" s="1" t="s">
        <v>18</v>
      </c>
      <c r="J827" s="1">
        <v>20</v>
      </c>
      <c r="K827" s="1" t="s">
        <v>25</v>
      </c>
      <c r="L827" s="3">
        <v>98000</v>
      </c>
      <c r="M827" s="3">
        <v>49000</v>
      </c>
      <c r="N827" s="1" t="s">
        <v>20</v>
      </c>
      <c r="O827" s="5" t="str" cm="1">
        <f t="array" ref="O827">_xlfn.IFS(Table1[[#This Row],[Age]]&lt;25,"Young",Table1[[#This Row],[Age]]&lt;45,"Adult",Table1[[#This Row],[Age]]&gt;=45,"Old")</f>
        <v>Adult</v>
      </c>
    </row>
    <row r="828" spans="1:15" x14ac:dyDescent="0.25">
      <c r="A828" s="1">
        <v>8595</v>
      </c>
      <c r="B828" s="1" t="s">
        <v>98</v>
      </c>
      <c r="C828" s="1" t="s">
        <v>945</v>
      </c>
      <c r="D828" s="1">
        <v>44</v>
      </c>
      <c r="E828" s="1">
        <v>1</v>
      </c>
      <c r="F828" s="1" t="s">
        <v>953</v>
      </c>
      <c r="G828" s="1" t="s">
        <v>35</v>
      </c>
      <c r="H828" s="1" t="s">
        <v>192</v>
      </c>
      <c r="I828" s="1" t="s">
        <v>51</v>
      </c>
      <c r="J828" s="1">
        <v>16</v>
      </c>
      <c r="K828" s="1" t="s">
        <v>19</v>
      </c>
      <c r="L828" s="3">
        <v>124200</v>
      </c>
      <c r="M828" s="3">
        <v>49680</v>
      </c>
      <c r="N828" s="1" t="s">
        <v>29</v>
      </c>
      <c r="O828" s="5" t="str" cm="1">
        <f t="array" ref="O828">_xlfn.IFS(Table1[[#This Row],[Age]]&lt;25,"Young",Table1[[#This Row],[Age]]&lt;45,"Adult",Table1[[#This Row],[Age]]&gt;=45,"Old")</f>
        <v>Adult</v>
      </c>
    </row>
    <row r="829" spans="1:15" x14ac:dyDescent="0.25">
      <c r="A829" s="1">
        <v>16696</v>
      </c>
      <c r="B829" s="1" t="s">
        <v>946</v>
      </c>
      <c r="C829" s="1" t="s">
        <v>269</v>
      </c>
      <c r="D829" s="1">
        <v>35</v>
      </c>
      <c r="E829" s="1">
        <v>12</v>
      </c>
      <c r="F829" s="1" t="s">
        <v>954</v>
      </c>
      <c r="G829" s="1" t="s">
        <v>23</v>
      </c>
      <c r="H829" s="1" t="s">
        <v>24</v>
      </c>
      <c r="I829" s="1" t="s">
        <v>18</v>
      </c>
      <c r="J829" s="1">
        <v>16</v>
      </c>
      <c r="K829" s="1" t="s">
        <v>37</v>
      </c>
      <c r="L829" s="3">
        <v>85000</v>
      </c>
      <c r="M829" s="3">
        <v>34000</v>
      </c>
      <c r="N829" s="1" t="s">
        <v>20</v>
      </c>
      <c r="O829" s="5" t="str" cm="1">
        <f t="array" ref="O829">_xlfn.IFS(Table1[[#This Row],[Age]]&lt;25,"Young",Table1[[#This Row],[Age]]&lt;45,"Adult",Table1[[#This Row],[Age]]&gt;=45,"Old")</f>
        <v>Adult</v>
      </c>
    </row>
    <row r="830" spans="1:15" x14ac:dyDescent="0.25">
      <c r="A830" s="1">
        <v>18879</v>
      </c>
      <c r="B830" s="1" t="s">
        <v>947</v>
      </c>
      <c r="C830" s="1" t="s">
        <v>87</v>
      </c>
      <c r="D830" s="1">
        <v>60</v>
      </c>
      <c r="E830" s="1">
        <v>10</v>
      </c>
      <c r="F830" s="1" t="s">
        <v>953</v>
      </c>
      <c r="G830" s="1" t="s">
        <v>35</v>
      </c>
      <c r="H830" s="1" t="s">
        <v>36</v>
      </c>
      <c r="I830" s="1" t="s">
        <v>51</v>
      </c>
      <c r="J830" s="1">
        <v>32</v>
      </c>
      <c r="K830" s="1" t="s">
        <v>37</v>
      </c>
      <c r="L830" s="3">
        <v>96499</v>
      </c>
      <c r="M830" s="3">
        <v>77199.199999999997</v>
      </c>
      <c r="N830" s="1" t="s">
        <v>20</v>
      </c>
      <c r="O830" s="5" t="str" cm="1">
        <f t="array" ref="O830">_xlfn.IFS(Table1[[#This Row],[Age]]&lt;25,"Young",Table1[[#This Row],[Age]]&lt;45,"Adult",Table1[[#This Row],[Age]]&gt;=45,"Old")</f>
        <v>Old</v>
      </c>
    </row>
    <row r="831" spans="1:15" x14ac:dyDescent="0.25">
      <c r="A831" s="1">
        <v>8561</v>
      </c>
      <c r="B831" s="1" t="s">
        <v>479</v>
      </c>
      <c r="C831" s="1" t="s">
        <v>393</v>
      </c>
      <c r="D831" s="1">
        <v>23</v>
      </c>
      <c r="E831" s="1">
        <v>3</v>
      </c>
      <c r="F831" s="1" t="s">
        <v>954</v>
      </c>
      <c r="G831" s="1" t="s">
        <v>45</v>
      </c>
      <c r="H831" s="1" t="s">
        <v>24</v>
      </c>
      <c r="I831" s="1" t="s">
        <v>18</v>
      </c>
      <c r="J831" s="1">
        <v>32</v>
      </c>
      <c r="K831" s="1" t="s">
        <v>25</v>
      </c>
      <c r="L831" s="3">
        <v>98000</v>
      </c>
      <c r="M831" s="3">
        <v>78400</v>
      </c>
      <c r="N831" s="1" t="s">
        <v>20</v>
      </c>
      <c r="O831" s="5" t="str" cm="1">
        <f t="array" ref="O831">_xlfn.IFS(Table1[[#This Row],[Age]]&lt;25,"Young",Table1[[#This Row],[Age]]&lt;45,"Adult",Table1[[#This Row],[Age]]&gt;=45,"Old")</f>
        <v>Young</v>
      </c>
    </row>
    <row r="832" spans="1:15" x14ac:dyDescent="0.25">
      <c r="A832" s="1">
        <v>16287</v>
      </c>
      <c r="B832" s="1" t="s">
        <v>91</v>
      </c>
      <c r="C832" s="1" t="s">
        <v>71</v>
      </c>
      <c r="D832" s="1">
        <v>35</v>
      </c>
      <c r="E832" s="1">
        <v>13</v>
      </c>
      <c r="F832" s="1" t="s">
        <v>954</v>
      </c>
      <c r="G832" s="1" t="s">
        <v>35</v>
      </c>
      <c r="H832" s="1" t="s">
        <v>24</v>
      </c>
      <c r="I832" s="1" t="s">
        <v>18</v>
      </c>
      <c r="J832" s="1">
        <v>20</v>
      </c>
      <c r="K832" s="1" t="s">
        <v>52</v>
      </c>
      <c r="L832" s="3">
        <v>130000</v>
      </c>
      <c r="M832" s="3">
        <v>65000</v>
      </c>
      <c r="N832" s="1" t="s">
        <v>20</v>
      </c>
      <c r="O832" s="5" t="str" cm="1">
        <f t="array" ref="O832">_xlfn.IFS(Table1[[#This Row],[Age]]&lt;25,"Young",Table1[[#This Row],[Age]]&lt;45,"Adult",Table1[[#This Row],[Age]]&gt;=45,"Old")</f>
        <v>Adult</v>
      </c>
    </row>
    <row r="833" spans="1:15" x14ac:dyDescent="0.25">
      <c r="A833" s="1">
        <v>21851</v>
      </c>
      <c r="B833" s="1" t="s">
        <v>948</v>
      </c>
      <c r="C833" s="1" t="s">
        <v>949</v>
      </c>
      <c r="D833" s="1">
        <v>40</v>
      </c>
      <c r="E833" s="1">
        <v>21</v>
      </c>
      <c r="F833" s="1" t="s">
        <v>954</v>
      </c>
      <c r="G833" s="1" t="s">
        <v>35</v>
      </c>
      <c r="H833" s="1" t="s">
        <v>36</v>
      </c>
      <c r="I833" s="1" t="s">
        <v>18</v>
      </c>
      <c r="J833" s="1">
        <v>32</v>
      </c>
      <c r="K833" s="1" t="s">
        <v>42</v>
      </c>
      <c r="L833" s="3">
        <v>68000</v>
      </c>
      <c r="M833" s="3">
        <v>54400</v>
      </c>
      <c r="N833" s="1" t="s">
        <v>20</v>
      </c>
      <c r="O833" s="5" t="str" cm="1">
        <f t="array" ref="O833">_xlfn.IFS(Table1[[#This Row],[Age]]&lt;25,"Young",Table1[[#This Row],[Age]]&lt;45,"Adult",Table1[[#This Row],[Age]]&gt;=45,"Old")</f>
        <v>Adult</v>
      </c>
    </row>
    <row r="834" spans="1:15" x14ac:dyDescent="0.25">
      <c r="A834" s="1">
        <v>16770</v>
      </c>
      <c r="B834" s="1" t="s">
        <v>98</v>
      </c>
      <c r="C834" s="1" t="s">
        <v>950</v>
      </c>
      <c r="D834" s="1">
        <v>63</v>
      </c>
      <c r="E834" s="1">
        <v>15</v>
      </c>
      <c r="F834" s="1" t="s">
        <v>953</v>
      </c>
      <c r="G834" s="1" t="s">
        <v>50</v>
      </c>
      <c r="H834" s="1" t="s">
        <v>24</v>
      </c>
      <c r="I834" s="1" t="s">
        <v>18</v>
      </c>
      <c r="J834" s="1">
        <v>20</v>
      </c>
      <c r="K834" s="1" t="s">
        <v>25</v>
      </c>
      <c r="L834" s="3">
        <v>105840</v>
      </c>
      <c r="M834" s="3">
        <v>52920</v>
      </c>
      <c r="N834" s="1" t="s">
        <v>20</v>
      </c>
      <c r="O834" s="5" t="str" cm="1">
        <f t="array" ref="O834">_xlfn.IFS(Table1[[#This Row],[Age]]&lt;25,"Young",Table1[[#This Row],[Age]]&lt;45,"Adult",Table1[[#This Row],[Age]]&gt;=45,"Old")</f>
        <v>Old</v>
      </c>
    </row>
    <row r="835" spans="1:15" x14ac:dyDescent="0.25">
      <c r="A835" s="1">
        <v>15372</v>
      </c>
      <c r="B835" s="1" t="s">
        <v>951</v>
      </c>
      <c r="C835" s="1" t="s">
        <v>952</v>
      </c>
      <c r="D835" s="1">
        <v>60</v>
      </c>
      <c r="E835" s="1">
        <v>35</v>
      </c>
      <c r="F835" s="1" t="s">
        <v>953</v>
      </c>
      <c r="G835" s="1" t="s">
        <v>50</v>
      </c>
      <c r="H835" s="1" t="s">
        <v>32</v>
      </c>
      <c r="I835" s="1" t="s">
        <v>18</v>
      </c>
      <c r="J835" s="1">
        <v>40</v>
      </c>
      <c r="K835" s="1" t="s">
        <v>25</v>
      </c>
      <c r="L835" s="3">
        <v>122000</v>
      </c>
      <c r="M835" s="3">
        <v>122000</v>
      </c>
      <c r="N835" s="1" t="s">
        <v>26</v>
      </c>
      <c r="O835" s="5" t="str" cm="1">
        <f t="array" ref="O835">_xlfn.IFS(Table1[[#This Row],[Age]]&lt;25,"Young",Table1[[#This Row],[Age]]&lt;45,"Adult",Table1[[#This Row],[Age]]&gt;=45,"Old")</f>
        <v>Old</v>
      </c>
    </row>
    <row r="836" spans="1:15" x14ac:dyDescent="0.25">
      <c r="A836" s="1">
        <v>1252</v>
      </c>
      <c r="B836" s="1" t="s">
        <v>433</v>
      </c>
      <c r="C836" s="1" t="s">
        <v>473</v>
      </c>
      <c r="D836" s="1">
        <v>33</v>
      </c>
      <c r="E836" s="1">
        <v>4</v>
      </c>
      <c r="F836" s="1" t="s">
        <v>953</v>
      </c>
      <c r="G836" s="1" t="s">
        <v>50</v>
      </c>
      <c r="H836" s="1" t="s">
        <v>24</v>
      </c>
      <c r="I836" s="1" t="s">
        <v>18</v>
      </c>
      <c r="J836" s="1">
        <v>40</v>
      </c>
      <c r="K836" s="1" t="s">
        <v>37</v>
      </c>
      <c r="L836" s="3">
        <v>106149</v>
      </c>
      <c r="M836" s="3">
        <v>106149</v>
      </c>
      <c r="N836" s="1" t="s">
        <v>26</v>
      </c>
      <c r="O836" s="5" t="str" cm="1">
        <f t="array" ref="O836">_xlfn.IFS(Table1[[#This Row],[Age]]&lt;25,"Young",Table1[[#This Row],[Age]]&lt;45,"Adult",Table1[[#This Row],[Age]]&gt;=45,"Old")</f>
        <v>Adult</v>
      </c>
    </row>
  </sheetData>
  <conditionalFormatting sqref="A1">
    <cfRule type="duplicateValues" dxfId="17"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tables</vt: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Enoch Tawiah Acquaye</dc:creator>
  <cp:lastModifiedBy>Enoch Tawiah Acquaye</cp:lastModifiedBy>
  <dcterms:created xsi:type="dcterms:W3CDTF">2025-10-30T03:00:13Z</dcterms:created>
  <dcterms:modified xsi:type="dcterms:W3CDTF">2025-11-25T08:51:35Z</dcterms:modified>
</cp:coreProperties>
</file>